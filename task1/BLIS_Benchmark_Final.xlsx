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Benchma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<sst xmlns="http://schemas.openxmlformats.org/spreadsheetml/2006/main" count="84" uniqueCount="60">
  <si>
    <t xml:space="preserve">BLIS DGEMM Benchmark Results — Combined (data.csv full-performance + blis_benchmark_results.csv) — Hassnain</t>
  </si>
  <si>
    <t xml:space="preserve">Run</t>
  </si>
  <si>
    <t xml:space="preserve">2k</t>
  </si>
  <si>
    <t xml:space="preserve">4k</t>
  </si>
  <si>
    <t xml:space="preserve">6k</t>
  </si>
  <si>
    <t xml:space="preserve">8k</t>
  </si>
  <si>
    <t xml:space="preserve">10k</t>
  </si>
  <si>
    <t xml:space="preserve">12k</t>
  </si>
  <si>
    <t xml:space="preserve">14k</t>
  </si>
  <si>
    <t xml:space="preserve">16k</t>
  </si>
  <si>
    <t xml:space="preserve">18k</t>
  </si>
  <si>
    <t xml:space="preserve">20k</t>
  </si>
  <si>
    <t xml:space="preserve">Parameter</t>
  </si>
  <si>
    <t xml:space="preserve">Value</t>
  </si>
  <si>
    <t xml:space="preserve">Matrix Size</t>
  </si>
  <si>
    <t xml:space="preserve">GFLOPS</t>
  </si>
  <si>
    <t xml:space="preserve">Name</t>
  </si>
  <si>
    <t xml:space="preserve">Hassnain</t>
  </si>
  <si>
    <t xml:space="preserve">Processor</t>
  </si>
  <si>
    <t xml:space="preserve">Intel(R) Core(TM) i7-1355U (13th Gen)</t>
  </si>
  <si>
    <t xml:space="preserve">Architecture</t>
  </si>
  <si>
    <t xml:space="preserve">x86_64</t>
  </si>
  <si>
    <t xml:space="preserve">Microarchitecture</t>
  </si>
  <si>
    <t xml:space="preserve">Raptor Lake (Intel 7)</t>
  </si>
  <si>
    <t xml:space="preserve">Physical Cores</t>
  </si>
  <si>
    <t xml:space="preserve">10 (2 P-cores + 8 E-cores)</t>
  </si>
  <si>
    <t xml:space="preserve">Logical Threads</t>
  </si>
  <si>
    <t xml:space="preserve">12</t>
  </si>
  <si>
    <t xml:space="preserve">P-core Base Frequency</t>
  </si>
  <si>
    <t xml:space="preserve">1.70 GHz</t>
  </si>
  <si>
    <t xml:space="preserve">E-core Base Frequency</t>
  </si>
  <si>
    <t xml:space="preserve">1.20 GHz</t>
  </si>
  <si>
    <t xml:space="preserve">Maximum Turbo Frequency</t>
  </si>
  <si>
    <t xml:space="preserve">5.00 GHz (P-core), 3.70 GHz (E-core)</t>
  </si>
  <si>
    <t xml:space="preserve">SIMD Instruction Set</t>
  </si>
  <si>
    <t xml:space="preserve">AVX2 + FMA</t>
  </si>
  <si>
    <t xml:space="preserve">FP64 Values per AVX2 Register</t>
  </si>
  <si>
    <t xml:space="preserve">4 doubles (256-bit / 64-bit)</t>
  </si>
  <si>
    <t xml:space="preserve">Theoretical FP64 FLOPs/Cycle</t>
  </si>
  <si>
    <t xml:space="preserve">P-core: 16, E-core: 8</t>
  </si>
  <si>
    <t xml:space="preserve">BLIS Worker Threads</t>
  </si>
  <si>
    <t xml:space="preserve">Matrix Storage</t>
  </si>
  <si>
    <t xml:space="preserve">Row-major</t>
  </si>
  <si>
    <t xml:space="preserve">Benchmark Runs per Matrix Size</t>
  </si>
  <si>
    <t xml:space="preserve">10 (per source file)</t>
  </si>
  <si>
    <t xml:space="preserve">Timing Method</t>
  </si>
  <si>
    <t xml:space="preserve">clock_gettime(CLOCK_MONOTONIC)</t>
  </si>
  <si>
    <t xml:space="preserve">Peak GFLOPS (P-cores)</t>
  </si>
  <si>
    <t xml:space="preserve">160</t>
  </si>
  <si>
    <t xml:space="preserve">Peak GFLOPS (E-cores)</t>
  </si>
  <si>
    <t xml:space="preserve">236.8</t>
  </si>
  <si>
    <t xml:space="preserve">Total Peak GFLOPS</t>
  </si>
  <si>
    <t xml:space="preserve">396.8</t>
  </si>
  <si>
    <t xml:space="preserve">N (runs)</t>
  </si>
  <si>
    <t xml:space="preserve">MIN</t>
  </si>
  <si>
    <t xml:space="preserve">MAX</t>
  </si>
  <si>
    <t xml:space="preserve">AVG</t>
  </si>
  <si>
    <t xml:space="preserve">EFFICIENCY (%)</t>
  </si>
  <si>
    <t xml:space="preserve">Efficiency per Run (%) = GFLOPS ÷ Total Peak GFLOPS × 100</t>
  </si>
  <si>
    <t xml:space="preserve">Power Saving Mode Results (data.csv, lines 2–55 — excluded from combined table above)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</si>
</sst>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  <fill>
      <patternFill patternType="solid">
        <fgColor rgb="FF83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83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GFLOPS vs Matrix Size (Power-Saving Data Excluded)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'Combined Benchmark'!R3</c:f>
              <c:strCache>
                <c:ptCount val="1"/>
                <c:pt idx="0">
                  <c:v>GFLOPS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'Combined Benchmark'!$Q$4:$Q$149</c:f>
              <c:numCache>
                <c:formatCode>0</c:formatCode>
                <c:ptCount val="146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6000</c:v>
                </c:pt>
                <c:pt idx="21">
                  <c:v>6000</c:v>
                </c:pt>
                <c:pt idx="22">
                  <c:v>6000</c:v>
                </c:pt>
                <c:pt idx="23">
                  <c:v>6000</c:v>
                </c:pt>
                <c:pt idx="24">
                  <c:v>6000</c:v>
                </c:pt>
                <c:pt idx="25">
                  <c:v>6000</c:v>
                </c:pt>
                <c:pt idx="26">
                  <c:v>6000</c:v>
                </c:pt>
                <c:pt idx="27">
                  <c:v>6000</c:v>
                </c:pt>
                <c:pt idx="28">
                  <c:v>6000</c:v>
                </c:pt>
                <c:pt idx="29">
                  <c:v>6000</c:v>
                </c:pt>
                <c:pt idx="30">
                  <c:v>8000</c:v>
                </c:pt>
                <c:pt idx="31">
                  <c:v>8000</c:v>
                </c:pt>
                <c:pt idx="32">
                  <c:v>8000</c:v>
                </c:pt>
                <c:pt idx="33">
                  <c:v>8000</c:v>
                </c:pt>
                <c:pt idx="34">
                  <c:v>8000</c:v>
                </c:pt>
                <c:pt idx="35">
                  <c:v>8000</c:v>
                </c:pt>
                <c:pt idx="36">
                  <c:v>8000</c:v>
                </c:pt>
                <c:pt idx="37">
                  <c:v>8000</c:v>
                </c:pt>
                <c:pt idx="38">
                  <c:v>8000</c:v>
                </c:pt>
                <c:pt idx="39">
                  <c:v>8000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12000</c:v>
                </c:pt>
                <c:pt idx="51">
                  <c:v>12000</c:v>
                </c:pt>
                <c:pt idx="52">
                  <c:v>12000</c:v>
                </c:pt>
                <c:pt idx="53">
                  <c:v>12000</c:v>
                </c:pt>
                <c:pt idx="54">
                  <c:v>12000</c:v>
                </c:pt>
                <c:pt idx="55">
                  <c:v>12000</c:v>
                </c:pt>
                <c:pt idx="56">
                  <c:v>12000</c:v>
                </c:pt>
                <c:pt idx="57">
                  <c:v>12000</c:v>
                </c:pt>
                <c:pt idx="58">
                  <c:v>12000</c:v>
                </c:pt>
                <c:pt idx="59">
                  <c:v>12000</c:v>
                </c:pt>
                <c:pt idx="60">
                  <c:v>12000</c:v>
                </c:pt>
                <c:pt idx="61">
                  <c:v>12000</c:v>
                </c:pt>
                <c:pt idx="62">
                  <c:v>12000</c:v>
                </c:pt>
                <c:pt idx="63">
                  <c:v>12000</c:v>
                </c:pt>
                <c:pt idx="64">
                  <c:v>12000</c:v>
                </c:pt>
                <c:pt idx="65">
                  <c:v>12000</c:v>
                </c:pt>
                <c:pt idx="66">
                  <c:v>14000</c:v>
                </c:pt>
                <c:pt idx="67">
                  <c:v>14000</c:v>
                </c:pt>
                <c:pt idx="68">
                  <c:v>14000</c:v>
                </c:pt>
                <c:pt idx="69">
                  <c:v>14000</c:v>
                </c:pt>
                <c:pt idx="70">
                  <c:v>14000</c:v>
                </c:pt>
                <c:pt idx="71">
                  <c:v>14000</c:v>
                </c:pt>
                <c:pt idx="72">
                  <c:v>14000</c:v>
                </c:pt>
                <c:pt idx="73">
                  <c:v>14000</c:v>
                </c:pt>
                <c:pt idx="74">
                  <c:v>14000</c:v>
                </c:pt>
                <c:pt idx="75">
                  <c:v>14000</c:v>
                </c:pt>
                <c:pt idx="76">
                  <c:v>14000</c:v>
                </c:pt>
                <c:pt idx="77">
                  <c:v>14000</c:v>
                </c:pt>
                <c:pt idx="78">
                  <c:v>14000</c:v>
                </c:pt>
                <c:pt idx="79">
                  <c:v>14000</c:v>
                </c:pt>
                <c:pt idx="80">
                  <c:v>14000</c:v>
                </c:pt>
                <c:pt idx="81">
                  <c:v>14000</c:v>
                </c:pt>
                <c:pt idx="82">
                  <c:v>14000</c:v>
                </c:pt>
                <c:pt idx="83">
                  <c:v>14000</c:v>
                </c:pt>
                <c:pt idx="84">
                  <c:v>14000</c:v>
                </c:pt>
                <c:pt idx="85">
                  <c:v>14000</c:v>
                </c:pt>
                <c:pt idx="86">
                  <c:v>16000</c:v>
                </c:pt>
                <c:pt idx="87">
                  <c:v>16000</c:v>
                </c:pt>
                <c:pt idx="88">
                  <c:v>16000</c:v>
                </c:pt>
                <c:pt idx="89">
                  <c:v>16000</c:v>
                </c:pt>
                <c:pt idx="90">
                  <c:v>16000</c:v>
                </c:pt>
                <c:pt idx="91">
                  <c:v>16000</c:v>
                </c:pt>
                <c:pt idx="92">
                  <c:v>16000</c:v>
                </c:pt>
                <c:pt idx="93">
                  <c:v>16000</c:v>
                </c:pt>
                <c:pt idx="94">
                  <c:v>16000</c:v>
                </c:pt>
                <c:pt idx="95">
                  <c:v>16000</c:v>
                </c:pt>
                <c:pt idx="96">
                  <c:v>16000</c:v>
                </c:pt>
                <c:pt idx="97">
                  <c:v>16000</c:v>
                </c:pt>
                <c:pt idx="98">
                  <c:v>16000</c:v>
                </c:pt>
                <c:pt idx="99">
                  <c:v>16000</c:v>
                </c:pt>
                <c:pt idx="100">
                  <c:v>16000</c:v>
                </c:pt>
                <c:pt idx="101">
                  <c:v>16000</c:v>
                </c:pt>
                <c:pt idx="102">
                  <c:v>16000</c:v>
                </c:pt>
                <c:pt idx="103">
                  <c:v>16000</c:v>
                </c:pt>
                <c:pt idx="104">
                  <c:v>16000</c:v>
                </c:pt>
                <c:pt idx="105">
                  <c:v>16000</c:v>
                </c:pt>
                <c:pt idx="106">
                  <c:v>18000</c:v>
                </c:pt>
                <c:pt idx="107">
                  <c:v>18000</c:v>
                </c:pt>
                <c:pt idx="108">
                  <c:v>18000</c:v>
                </c:pt>
                <c:pt idx="109">
                  <c:v>18000</c:v>
                </c:pt>
                <c:pt idx="110">
                  <c:v>18000</c:v>
                </c:pt>
                <c:pt idx="111">
                  <c:v>18000</c:v>
                </c:pt>
                <c:pt idx="112">
                  <c:v>18000</c:v>
                </c:pt>
                <c:pt idx="113">
                  <c:v>18000</c:v>
                </c:pt>
                <c:pt idx="114">
                  <c:v>18000</c:v>
                </c:pt>
                <c:pt idx="115">
                  <c:v>18000</c:v>
                </c:pt>
                <c:pt idx="116">
                  <c:v>18000</c:v>
                </c:pt>
                <c:pt idx="117">
                  <c:v>18000</c:v>
                </c:pt>
                <c:pt idx="118">
                  <c:v>18000</c:v>
                </c:pt>
                <c:pt idx="119">
                  <c:v>18000</c:v>
                </c:pt>
                <c:pt idx="120">
                  <c:v>18000</c:v>
                </c:pt>
                <c:pt idx="121">
                  <c:v>18000</c:v>
                </c:pt>
                <c:pt idx="122">
                  <c:v>18000</c:v>
                </c:pt>
                <c:pt idx="123">
                  <c:v>18000</c:v>
                </c:pt>
                <c:pt idx="124">
                  <c:v>18000</c:v>
                </c:pt>
                <c:pt idx="125">
                  <c:v>18000</c:v>
                </c:pt>
                <c:pt idx="126">
                  <c:v>20000</c:v>
                </c:pt>
                <c:pt idx="127">
                  <c:v>20000</c:v>
                </c:pt>
                <c:pt idx="128">
                  <c:v>20000</c:v>
                </c:pt>
                <c:pt idx="129">
                  <c:v>20000</c:v>
                </c:pt>
                <c:pt idx="130">
                  <c:v>20000</c:v>
                </c:pt>
                <c:pt idx="131">
                  <c:v>20000</c:v>
                </c:pt>
                <c:pt idx="132">
                  <c:v>20000</c:v>
                </c:pt>
                <c:pt idx="133">
                  <c:v>20000</c:v>
                </c:pt>
                <c:pt idx="134">
                  <c:v>20000</c:v>
                </c:pt>
                <c:pt idx="135">
                  <c:v>20000</c:v>
                </c:pt>
                <c:pt idx="136">
                  <c:v>20000</c:v>
                </c:pt>
                <c:pt idx="137">
                  <c:v>20000</c:v>
                </c:pt>
                <c:pt idx="138">
                  <c:v>20000</c:v>
                </c:pt>
                <c:pt idx="139">
                  <c:v>20000</c:v>
                </c:pt>
                <c:pt idx="140">
                  <c:v>20000</c:v>
                </c:pt>
                <c:pt idx="141">
                  <c:v>20000</c:v>
                </c:pt>
                <c:pt idx="142">
                  <c:v>20000</c:v>
                </c:pt>
                <c:pt idx="143">
                  <c:v>20000</c:v>
                </c:pt>
                <c:pt idx="144">
                  <c:v>20000</c:v>
                </c:pt>
                <c:pt idx="145">
                  <c:v>20000</c:v>
                </c:pt>
              </c:numCache>
            </c:numRef>
          </c:xVal>
          <c:yVal>
            <c:numRef>
              <c:f>'Combined Benchmark'!$R$4:$R$149</c:f>
              <c:numCache>
                <c:formatCode>0.000000</c:formatCode>
                <c:ptCount val="146"/>
                <c:pt idx="0">
                  <c:v>202.627732</c:v>
                </c:pt>
                <c:pt idx="1">
                  <c:v>210.996185</c:v>
                </c:pt>
                <c:pt idx="2">
                  <c:v>200.541997</c:v>
                </c:pt>
                <c:pt idx="3">
                  <c:v>210.482751</c:v>
                </c:pt>
                <c:pt idx="4">
                  <c:v>221.980193</c:v>
                </c:pt>
                <c:pt idx="5">
                  <c:v>215.537654</c:v>
                </c:pt>
                <c:pt idx="6">
                  <c:v>202.995544</c:v>
                </c:pt>
                <c:pt idx="7">
                  <c:v>184.734949</c:v>
                </c:pt>
                <c:pt idx="8">
                  <c:v>208.9557</c:v>
                </c:pt>
                <c:pt idx="9">
                  <c:v>202.07255</c:v>
                </c:pt>
                <c:pt idx="10">
                  <c:v>206.18954</c:v>
                </c:pt>
                <c:pt idx="11">
                  <c:v>213.065339</c:v>
                </c:pt>
                <c:pt idx="12">
                  <c:v>203.236882</c:v>
                </c:pt>
                <c:pt idx="13">
                  <c:v>182.321812</c:v>
                </c:pt>
                <c:pt idx="14">
                  <c:v>148.333332</c:v>
                </c:pt>
                <c:pt idx="15">
                  <c:v>175.798451</c:v>
                </c:pt>
                <c:pt idx="16">
                  <c:v>169.966928</c:v>
                </c:pt>
                <c:pt idx="17">
                  <c:v>155.251944</c:v>
                </c:pt>
                <c:pt idx="18">
                  <c:v>181.031783</c:v>
                </c:pt>
                <c:pt idx="19">
                  <c:v>168.9648</c:v>
                </c:pt>
                <c:pt idx="20">
                  <c:v>154.768828</c:v>
                </c:pt>
                <c:pt idx="21">
                  <c:v>159.226082</c:v>
                </c:pt>
                <c:pt idx="22">
                  <c:v>173.890832</c:v>
                </c:pt>
                <c:pt idx="23">
                  <c:v>163.82577</c:v>
                </c:pt>
                <c:pt idx="24">
                  <c:v>156.267598</c:v>
                </c:pt>
                <c:pt idx="25">
                  <c:v>164.569068</c:v>
                </c:pt>
                <c:pt idx="26">
                  <c:v>153.67795</c:v>
                </c:pt>
                <c:pt idx="27">
                  <c:v>175.180896</c:v>
                </c:pt>
                <c:pt idx="28">
                  <c:v>176.386492</c:v>
                </c:pt>
                <c:pt idx="29">
                  <c:v>177.908341</c:v>
                </c:pt>
                <c:pt idx="30">
                  <c:v>179.970853</c:v>
                </c:pt>
                <c:pt idx="31">
                  <c:v>178.557533</c:v>
                </c:pt>
                <c:pt idx="32">
                  <c:v>177.634242</c:v>
                </c:pt>
                <c:pt idx="33">
                  <c:v>187.368105</c:v>
                </c:pt>
                <c:pt idx="34">
                  <c:v>182.328609</c:v>
                </c:pt>
                <c:pt idx="35">
                  <c:v>169.17714</c:v>
                </c:pt>
                <c:pt idx="36">
                  <c:v>157.97225</c:v>
                </c:pt>
                <c:pt idx="37">
                  <c:v>156.456635</c:v>
                </c:pt>
                <c:pt idx="38">
                  <c:v>143.352062</c:v>
                </c:pt>
                <c:pt idx="39">
                  <c:v>141.649012</c:v>
                </c:pt>
                <c:pt idx="40">
                  <c:v>160.960419</c:v>
                </c:pt>
                <c:pt idx="41">
                  <c:v>169.65744</c:v>
                </c:pt>
                <c:pt idx="42">
                  <c:v>167.063378</c:v>
                </c:pt>
                <c:pt idx="43">
                  <c:v>160.696206</c:v>
                </c:pt>
                <c:pt idx="44">
                  <c:v>161.459983</c:v>
                </c:pt>
                <c:pt idx="45">
                  <c:v>170.085073</c:v>
                </c:pt>
                <c:pt idx="46">
                  <c:v>166.911884</c:v>
                </c:pt>
                <c:pt idx="47">
                  <c:v>160.916299</c:v>
                </c:pt>
                <c:pt idx="48">
                  <c:v>146.619531</c:v>
                </c:pt>
                <c:pt idx="49">
                  <c:v>156.279145</c:v>
                </c:pt>
                <c:pt idx="50">
                  <c:v>161.534321</c:v>
                </c:pt>
                <c:pt idx="51">
                  <c:v>165.645847</c:v>
                </c:pt>
                <c:pt idx="52">
                  <c:v>166.668796</c:v>
                </c:pt>
                <c:pt idx="53">
                  <c:v>163.999039</c:v>
                </c:pt>
                <c:pt idx="54">
                  <c:v>169.239332</c:v>
                </c:pt>
                <c:pt idx="55">
                  <c:v>164.21362</c:v>
                </c:pt>
                <c:pt idx="56">
                  <c:v>155.093726</c:v>
                </c:pt>
                <c:pt idx="57">
                  <c:v>165.258192</c:v>
                </c:pt>
                <c:pt idx="58">
                  <c:v>167.457674</c:v>
                </c:pt>
                <c:pt idx="59">
                  <c:v>167.798586</c:v>
                </c:pt>
                <c:pt idx="60">
                  <c:v>132.30876</c:v>
                </c:pt>
                <c:pt idx="61">
                  <c:v>152.664539</c:v>
                </c:pt>
                <c:pt idx="62">
                  <c:v>127.726041</c:v>
                </c:pt>
                <c:pt idx="63">
                  <c:v>130.560515</c:v>
                </c:pt>
                <c:pt idx="64">
                  <c:v>136.394435</c:v>
                </c:pt>
                <c:pt idx="65">
                  <c:v>132.624647</c:v>
                </c:pt>
                <c:pt idx="66">
                  <c:v>166.108684</c:v>
                </c:pt>
                <c:pt idx="67">
                  <c:v>162.045001</c:v>
                </c:pt>
                <c:pt idx="68">
                  <c:v>154.947756</c:v>
                </c:pt>
                <c:pt idx="69">
                  <c:v>161.75153</c:v>
                </c:pt>
                <c:pt idx="70">
                  <c:v>157.725204</c:v>
                </c:pt>
                <c:pt idx="71">
                  <c:v>164.880765</c:v>
                </c:pt>
                <c:pt idx="72">
                  <c:v>163.661158</c:v>
                </c:pt>
                <c:pt idx="73">
                  <c:v>162.652605</c:v>
                </c:pt>
                <c:pt idx="74">
                  <c:v>152.553507</c:v>
                </c:pt>
                <c:pt idx="75">
                  <c:v>161.009915</c:v>
                </c:pt>
                <c:pt idx="76">
                  <c:v>156.286288</c:v>
                </c:pt>
                <c:pt idx="77">
                  <c:v>156.782613</c:v>
                </c:pt>
                <c:pt idx="78">
                  <c:v>159.271965</c:v>
                </c:pt>
                <c:pt idx="79">
                  <c:v>147.560257</c:v>
                </c:pt>
                <c:pt idx="80">
                  <c:v>147.792456</c:v>
                </c:pt>
                <c:pt idx="81">
                  <c:v>149.600661</c:v>
                </c:pt>
                <c:pt idx="82">
                  <c:v>147.7758</c:v>
                </c:pt>
                <c:pt idx="83">
                  <c:v>154.250452</c:v>
                </c:pt>
                <c:pt idx="84">
                  <c:v>154.24143</c:v>
                </c:pt>
                <c:pt idx="85">
                  <c:v>136.089358</c:v>
                </c:pt>
                <c:pt idx="86">
                  <c:v>154.47721</c:v>
                </c:pt>
                <c:pt idx="87">
                  <c:v>158.169779</c:v>
                </c:pt>
                <c:pt idx="88">
                  <c:v>162.001399</c:v>
                </c:pt>
                <c:pt idx="89">
                  <c:v>163.372007</c:v>
                </c:pt>
                <c:pt idx="90">
                  <c:v>156.098927</c:v>
                </c:pt>
                <c:pt idx="91">
                  <c:v>161.466152</c:v>
                </c:pt>
                <c:pt idx="92">
                  <c:v>156.916479</c:v>
                </c:pt>
                <c:pt idx="93">
                  <c:v>159.557576</c:v>
                </c:pt>
                <c:pt idx="94">
                  <c:v>155.725002</c:v>
                </c:pt>
                <c:pt idx="95">
                  <c:v>163.439258</c:v>
                </c:pt>
                <c:pt idx="96">
                  <c:v>152.440312</c:v>
                </c:pt>
                <c:pt idx="97">
                  <c:v>155.577092</c:v>
                </c:pt>
                <c:pt idx="98">
                  <c:v>115.449466</c:v>
                </c:pt>
                <c:pt idx="99">
                  <c:v>116.02836</c:v>
                </c:pt>
                <c:pt idx="100">
                  <c:v>112.652587</c:v>
                </c:pt>
                <c:pt idx="101">
                  <c:v>123.055028</c:v>
                </c:pt>
                <c:pt idx="102">
                  <c:v>161.764925</c:v>
                </c:pt>
                <c:pt idx="103">
                  <c:v>164.779269</c:v>
                </c:pt>
                <c:pt idx="104">
                  <c:v>163.917741</c:v>
                </c:pt>
                <c:pt idx="105">
                  <c:v>150.990173</c:v>
                </c:pt>
                <c:pt idx="106">
                  <c:v>159.037355</c:v>
                </c:pt>
                <c:pt idx="107">
                  <c:v>141.954404</c:v>
                </c:pt>
                <c:pt idx="108">
                  <c:v>155.3082</c:v>
                </c:pt>
                <c:pt idx="109">
                  <c:v>152.979654</c:v>
                </c:pt>
                <c:pt idx="110">
                  <c:v>162.265072</c:v>
                </c:pt>
                <c:pt idx="111">
                  <c:v>149.143871</c:v>
                </c:pt>
                <c:pt idx="112">
                  <c:v>154.853614</c:v>
                </c:pt>
                <c:pt idx="113">
                  <c:v>159.732687</c:v>
                </c:pt>
                <c:pt idx="114">
                  <c:v>158.212786</c:v>
                </c:pt>
                <c:pt idx="115">
                  <c:v>161.908484</c:v>
                </c:pt>
                <c:pt idx="116">
                  <c:v>167.142495</c:v>
                </c:pt>
                <c:pt idx="117">
                  <c:v>160.282535</c:v>
                </c:pt>
                <c:pt idx="118">
                  <c:v>149.685834</c:v>
                </c:pt>
                <c:pt idx="119">
                  <c:v>126.919337</c:v>
                </c:pt>
                <c:pt idx="120">
                  <c:v>111.488343</c:v>
                </c:pt>
                <c:pt idx="121">
                  <c:v>107.847815</c:v>
                </c:pt>
                <c:pt idx="122">
                  <c:v>110.467418</c:v>
                </c:pt>
                <c:pt idx="123">
                  <c:v>155.651871</c:v>
                </c:pt>
                <c:pt idx="124">
                  <c:v>153.18685</c:v>
                </c:pt>
                <c:pt idx="125">
                  <c:v>159.052436</c:v>
                </c:pt>
                <c:pt idx="126">
                  <c:v>159.424494</c:v>
                </c:pt>
                <c:pt idx="127">
                  <c:v>148.642007</c:v>
                </c:pt>
                <c:pt idx="128">
                  <c:v>157.01045</c:v>
                </c:pt>
                <c:pt idx="129">
                  <c:v>158.028052</c:v>
                </c:pt>
                <c:pt idx="130">
                  <c:v>162.794678</c:v>
                </c:pt>
                <c:pt idx="131">
                  <c:v>145.580479</c:v>
                </c:pt>
                <c:pt idx="132">
                  <c:v>156.528848</c:v>
                </c:pt>
                <c:pt idx="133">
                  <c:v>160.414564</c:v>
                </c:pt>
                <c:pt idx="134">
                  <c:v>160.495423</c:v>
                </c:pt>
                <c:pt idx="135">
                  <c:v>158.047101</c:v>
                </c:pt>
                <c:pt idx="136">
                  <c:v>147.736373</c:v>
                </c:pt>
                <c:pt idx="137">
                  <c:v>156.924403</c:v>
                </c:pt>
                <c:pt idx="138">
                  <c:v>163.257088</c:v>
                </c:pt>
                <c:pt idx="139">
                  <c:v>139.046199</c:v>
                </c:pt>
                <c:pt idx="140">
                  <c:v>126.370419</c:v>
                </c:pt>
                <c:pt idx="141">
                  <c:v>134.448718</c:v>
                </c:pt>
                <c:pt idx="142">
                  <c:v>164.0767</c:v>
                </c:pt>
                <c:pt idx="143">
                  <c:v>152.689549</c:v>
                </c:pt>
                <c:pt idx="144">
                  <c:v>149.396797</c:v>
                </c:pt>
                <c:pt idx="145">
                  <c:v>145.90408</c:v>
                </c:pt>
              </c:numCache>
            </c:numRef>
          </c:yVal>
          <c:smooth val="1"/>
        </c:ser>
        <c:axId val="85226957"/>
        <c:axId val="96495538"/>
      </c:scatterChart>
      <c:valAx>
        <c:axId val="8522695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Matrix Size (dimension)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95538"/>
        <c:crosses val="autoZero"/>
        <c:crossBetween val="midCat"/>
      </c:valAx>
      <c:valAx>
        <c:axId val="964955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GFLOPS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269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73</xdr:row>
      <xdr:rowOff>0</xdr:rowOff>
    </xdr:from>
    <xdr:to>
      <xdr:col>9</xdr:col>
      <xdr:colOff>25200</xdr:colOff>
      <xdr:row>91</xdr:row>
      <xdr:rowOff>170640</xdr:rowOff>
    </xdr:to>
    <xdr:graphicFrame>
      <xdr:nvGraphicFramePr>
        <xdr:cNvPr id="0" name="Chart 1"/>
        <xdr:cNvGraphicFramePr/>
      </xdr:nvGraphicFramePr>
      <xdr:xfrm>
        <a:off x="0" y="139161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1" min="2" style="1" width="13"/>
    <col collapsed="false" customWidth="true" hidden="false" outlineLevel="0" max="13" min="13" style="1" width="30"/>
    <col collapsed="false" customWidth="true" hidden="false" outlineLevel="0" max="14" min="14" style="1" width="40"/>
    <col collapsed="false" customWidth="true" hidden="false" outlineLevel="0" max="18" min="17" style="0" width="1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M3" s="4" t="s">
        <v>12</v>
      </c>
      <c r="N3" s="4" t="s">
        <v>13</v>
      </c>
      <c r="Q3" s="3" t="s">
        <v>14</v>
      </c>
      <c r="R3" s="3" t="s">
        <v>15</v>
      </c>
    </row>
    <row r="4" customFormat="false" ht="15" hidden="false" customHeight="true" outlineLevel="0" collapsed="false">
      <c r="A4" s="5" t="n">
        <v>1</v>
      </c>
      <c r="B4" s="6" t="n">
        <v>202.627732</v>
      </c>
      <c r="C4" s="6" t="n">
        <v>206.18954</v>
      </c>
      <c r="D4" s="6" t="n">
        <v>154.768828</v>
      </c>
      <c r="E4" s="6" t="n">
        <v>179.970853</v>
      </c>
      <c r="F4" s="6" t="n">
        <v>160.960419</v>
      </c>
      <c r="G4" s="6" t="n">
        <v>161.534321</v>
      </c>
      <c r="H4" s="6" t="n">
        <v>166.108684</v>
      </c>
      <c r="I4" s="6" t="n">
        <v>154.47721</v>
      </c>
      <c r="J4" s="6" t="n">
        <v>159.037355</v>
      </c>
      <c r="K4" s="6" t="n">
        <v>159.424494</v>
      </c>
      <c r="M4" s="7" t="s">
        <v>16</v>
      </c>
      <c r="N4" s="8" t="s">
        <v>17</v>
      </c>
      <c r="Q4" s="9" t="n">
        <v>2000</v>
      </c>
      <c r="R4" s="6" t="n">
        <v>202.627732</v>
      </c>
    </row>
    <row r="5" customFormat="false" ht="15" hidden="false" customHeight="true" outlineLevel="0" collapsed="false">
      <c r="A5" s="5" t="n">
        <v>2</v>
      </c>
      <c r="B5" s="6" t="n">
        <v>210.996185</v>
      </c>
      <c r="C5" s="6" t="n">
        <v>213.065339</v>
      </c>
      <c r="D5" s="6" t="n">
        <v>159.226082</v>
      </c>
      <c r="E5" s="6" t="n">
        <v>178.557533</v>
      </c>
      <c r="F5" s="6" t="n">
        <v>169.65744</v>
      </c>
      <c r="G5" s="6" t="n">
        <v>165.645847</v>
      </c>
      <c r="H5" s="6" t="n">
        <v>162.045001</v>
      </c>
      <c r="I5" s="6" t="n">
        <v>158.169779</v>
      </c>
      <c r="J5" s="6" t="n">
        <v>141.954404</v>
      </c>
      <c r="K5" s="6" t="n">
        <v>148.642007</v>
      </c>
      <c r="M5" s="7" t="s">
        <v>18</v>
      </c>
      <c r="N5" s="8" t="s">
        <v>19</v>
      </c>
      <c r="Q5" s="9" t="n">
        <v>2000</v>
      </c>
      <c r="R5" s="6" t="n">
        <v>210.996185</v>
      </c>
    </row>
    <row r="6" customFormat="false" ht="15" hidden="false" customHeight="true" outlineLevel="0" collapsed="false">
      <c r="A6" s="5" t="n">
        <v>3</v>
      </c>
      <c r="B6" s="6" t="n">
        <v>200.541997</v>
      </c>
      <c r="C6" s="6" t="n">
        <v>203.236882</v>
      </c>
      <c r="D6" s="6" t="n">
        <v>173.890832</v>
      </c>
      <c r="E6" s="6" t="n">
        <v>177.634242</v>
      </c>
      <c r="F6" s="6" t="n">
        <v>167.063378</v>
      </c>
      <c r="G6" s="6" t="n">
        <v>166.668796</v>
      </c>
      <c r="H6" s="6" t="n">
        <v>154.947756</v>
      </c>
      <c r="I6" s="6" t="n">
        <v>162.001399</v>
      </c>
      <c r="J6" s="6" t="n">
        <v>155.3082</v>
      </c>
      <c r="K6" s="6" t="n">
        <v>157.01045</v>
      </c>
      <c r="M6" s="7" t="s">
        <v>20</v>
      </c>
      <c r="N6" s="8" t="s">
        <v>21</v>
      </c>
      <c r="Q6" s="9" t="n">
        <v>2000</v>
      </c>
      <c r="R6" s="6" t="n">
        <v>200.541997</v>
      </c>
    </row>
    <row r="7" customFormat="false" ht="15" hidden="false" customHeight="true" outlineLevel="0" collapsed="false">
      <c r="A7" s="5" t="n">
        <v>4</v>
      </c>
      <c r="B7" s="6" t="n">
        <v>210.482751</v>
      </c>
      <c r="C7" s="6" t="n">
        <v>182.321812</v>
      </c>
      <c r="D7" s="6" t="n">
        <v>163.82577</v>
      </c>
      <c r="E7" s="6" t="n">
        <v>187.368105</v>
      </c>
      <c r="F7" s="6" t="n">
        <v>160.696206</v>
      </c>
      <c r="G7" s="6" t="n">
        <v>163.999039</v>
      </c>
      <c r="H7" s="6" t="n">
        <v>161.75153</v>
      </c>
      <c r="I7" s="6" t="n">
        <v>163.372007</v>
      </c>
      <c r="J7" s="6" t="n">
        <v>152.979654</v>
      </c>
      <c r="K7" s="6" t="n">
        <v>158.028052</v>
      </c>
      <c r="M7" s="7" t="s">
        <v>22</v>
      </c>
      <c r="N7" s="8" t="s">
        <v>23</v>
      </c>
      <c r="Q7" s="9" t="n">
        <v>2000</v>
      </c>
      <c r="R7" s="6" t="n">
        <v>210.482751</v>
      </c>
    </row>
    <row r="8" customFormat="false" ht="15" hidden="false" customHeight="true" outlineLevel="0" collapsed="false">
      <c r="A8" s="5" t="n">
        <v>5</v>
      </c>
      <c r="B8" s="6" t="n">
        <v>221.980193</v>
      </c>
      <c r="C8" s="6" t="n">
        <v>148.333332</v>
      </c>
      <c r="D8" s="6" t="n">
        <v>156.267598</v>
      </c>
      <c r="E8" s="6" t="n">
        <v>182.328609</v>
      </c>
      <c r="F8" s="6" t="n">
        <v>161.459983</v>
      </c>
      <c r="G8" s="6" t="n">
        <v>169.239332</v>
      </c>
      <c r="H8" s="6" t="n">
        <v>157.725204</v>
      </c>
      <c r="I8" s="6" t="n">
        <v>156.098927</v>
      </c>
      <c r="J8" s="6" t="n">
        <v>162.265072</v>
      </c>
      <c r="K8" s="6" t="n">
        <v>162.794678</v>
      </c>
      <c r="M8" s="7" t="s">
        <v>24</v>
      </c>
      <c r="N8" s="8" t="s">
        <v>25</v>
      </c>
      <c r="Q8" s="9" t="n">
        <v>2000</v>
      </c>
      <c r="R8" s="6" t="n">
        <v>221.980193</v>
      </c>
    </row>
    <row r="9" customFormat="false" ht="15" hidden="false" customHeight="true" outlineLevel="0" collapsed="false">
      <c r="A9" s="5" t="n">
        <v>6</v>
      </c>
      <c r="B9" s="6" t="n">
        <v>215.537654</v>
      </c>
      <c r="C9" s="6" t="n">
        <v>175.798451</v>
      </c>
      <c r="D9" s="6" t="n">
        <v>164.569068</v>
      </c>
      <c r="E9" s="6" t="n">
        <v>169.17714</v>
      </c>
      <c r="F9" s="6" t="n">
        <v>170.085073</v>
      </c>
      <c r="G9" s="6" t="n">
        <v>164.21362</v>
      </c>
      <c r="H9" s="6" t="n">
        <v>164.880765</v>
      </c>
      <c r="I9" s="6" t="n">
        <v>161.466152</v>
      </c>
      <c r="J9" s="6" t="n">
        <v>149.143871</v>
      </c>
      <c r="K9" s="6" t="n">
        <v>145.580479</v>
      </c>
      <c r="M9" s="7" t="s">
        <v>26</v>
      </c>
      <c r="N9" s="8" t="s">
        <v>27</v>
      </c>
      <c r="Q9" s="9" t="n">
        <v>2000</v>
      </c>
      <c r="R9" s="6" t="n">
        <v>215.537654</v>
      </c>
    </row>
    <row r="10" customFormat="false" ht="15" hidden="false" customHeight="true" outlineLevel="0" collapsed="false">
      <c r="A10" s="5" t="n">
        <v>7</v>
      </c>
      <c r="B10" s="6" t="n">
        <v>202.995544</v>
      </c>
      <c r="C10" s="6" t="n">
        <v>169.966928</v>
      </c>
      <c r="D10" s="6" t="n">
        <v>153.67795</v>
      </c>
      <c r="E10" s="6" t="n">
        <v>157.97225</v>
      </c>
      <c r="F10" s="6" t="n">
        <v>166.911884</v>
      </c>
      <c r="G10" s="6" t="n">
        <v>155.093726</v>
      </c>
      <c r="H10" s="6" t="n">
        <v>163.661158</v>
      </c>
      <c r="I10" s="6" t="n">
        <v>156.916479</v>
      </c>
      <c r="J10" s="6" t="n">
        <v>154.853614</v>
      </c>
      <c r="K10" s="6" t="n">
        <v>156.528848</v>
      </c>
      <c r="M10" s="7" t="s">
        <v>28</v>
      </c>
      <c r="N10" s="8" t="s">
        <v>29</v>
      </c>
      <c r="Q10" s="9" t="n">
        <v>2000</v>
      </c>
      <c r="R10" s="6" t="n">
        <v>202.995544</v>
      </c>
    </row>
    <row r="11" customFormat="false" ht="15" hidden="false" customHeight="true" outlineLevel="0" collapsed="false">
      <c r="A11" s="5" t="n">
        <v>8</v>
      </c>
      <c r="B11" s="6" t="n">
        <v>184.734949</v>
      </c>
      <c r="C11" s="6" t="n">
        <v>155.251944</v>
      </c>
      <c r="D11" s="6" t="n">
        <v>175.180896</v>
      </c>
      <c r="E11" s="6" t="n">
        <v>156.456635</v>
      </c>
      <c r="F11" s="6" t="n">
        <v>160.916299</v>
      </c>
      <c r="G11" s="6" t="n">
        <v>165.258192</v>
      </c>
      <c r="H11" s="6" t="n">
        <v>162.652605</v>
      </c>
      <c r="I11" s="6" t="n">
        <v>159.557576</v>
      </c>
      <c r="J11" s="6" t="n">
        <v>159.732687</v>
      </c>
      <c r="K11" s="6" t="n">
        <v>160.414564</v>
      </c>
      <c r="M11" s="7" t="s">
        <v>30</v>
      </c>
      <c r="N11" s="8" t="s">
        <v>31</v>
      </c>
      <c r="Q11" s="9" t="n">
        <v>2000</v>
      </c>
      <c r="R11" s="6" t="n">
        <v>184.734949</v>
      </c>
    </row>
    <row r="12" customFormat="false" ht="15" hidden="false" customHeight="true" outlineLevel="0" collapsed="false">
      <c r="A12" s="5" t="n">
        <v>9</v>
      </c>
      <c r="B12" s="6" t="n">
        <v>208.9557</v>
      </c>
      <c r="C12" s="6" t="n">
        <v>181.031783</v>
      </c>
      <c r="D12" s="6" t="n">
        <v>176.386492</v>
      </c>
      <c r="E12" s="6" t="n">
        <v>143.352062</v>
      </c>
      <c r="F12" s="6" t="n">
        <v>146.619531</v>
      </c>
      <c r="G12" s="6" t="n">
        <v>167.457674</v>
      </c>
      <c r="H12" s="6" t="n">
        <v>152.553507</v>
      </c>
      <c r="I12" s="6" t="n">
        <v>155.725002</v>
      </c>
      <c r="J12" s="6" t="n">
        <v>158.212786</v>
      </c>
      <c r="K12" s="6" t="n">
        <v>160.495423</v>
      </c>
      <c r="M12" s="7" t="s">
        <v>32</v>
      </c>
      <c r="N12" s="8" t="s">
        <v>33</v>
      </c>
      <c r="Q12" s="9" t="n">
        <v>2000</v>
      </c>
      <c r="R12" s="6" t="n">
        <v>208.9557</v>
      </c>
    </row>
    <row r="13" customFormat="false" ht="15" hidden="false" customHeight="true" outlineLevel="0" collapsed="false">
      <c r="A13" s="5" t="n">
        <v>10</v>
      </c>
      <c r="B13" s="6" t="n">
        <v>202.07255</v>
      </c>
      <c r="C13" s="6" t="n">
        <v>168.9648</v>
      </c>
      <c r="D13" s="6" t="n">
        <v>177.908341</v>
      </c>
      <c r="E13" s="6" t="n">
        <v>141.649012</v>
      </c>
      <c r="F13" s="6" t="n">
        <v>156.279145</v>
      </c>
      <c r="G13" s="6" t="n">
        <v>167.798586</v>
      </c>
      <c r="H13" s="6" t="n">
        <v>161.009915</v>
      </c>
      <c r="I13" s="6" t="n">
        <v>163.439258</v>
      </c>
      <c r="J13" s="6" t="n">
        <v>161.908484</v>
      </c>
      <c r="K13" s="6" t="n">
        <v>158.047101</v>
      </c>
      <c r="M13" s="7" t="s">
        <v>34</v>
      </c>
      <c r="N13" s="8" t="s">
        <v>35</v>
      </c>
      <c r="Q13" s="9" t="n">
        <v>2000</v>
      </c>
      <c r="R13" s="6" t="n">
        <v>202.07255</v>
      </c>
    </row>
    <row r="14" customFormat="false" ht="15" hidden="false" customHeight="true" outlineLevel="0" collapsed="false">
      <c r="A14" s="5" t="n">
        <v>11</v>
      </c>
      <c r="B14" s="6"/>
      <c r="C14" s="6"/>
      <c r="D14" s="6"/>
      <c r="E14" s="6"/>
      <c r="F14" s="6"/>
      <c r="G14" s="6" t="n">
        <v>132.30876</v>
      </c>
      <c r="H14" s="6" t="n">
        <v>156.286288</v>
      </c>
      <c r="I14" s="6" t="n">
        <v>152.440312</v>
      </c>
      <c r="J14" s="6" t="n">
        <v>167.142495</v>
      </c>
      <c r="K14" s="6" t="n">
        <v>147.736373</v>
      </c>
      <c r="M14" s="7" t="s">
        <v>36</v>
      </c>
      <c r="N14" s="8" t="s">
        <v>37</v>
      </c>
      <c r="Q14" s="9" t="n">
        <v>4000</v>
      </c>
      <c r="R14" s="6" t="n">
        <v>206.18954</v>
      </c>
    </row>
    <row r="15" customFormat="false" ht="15" hidden="false" customHeight="true" outlineLevel="0" collapsed="false">
      <c r="A15" s="5" t="n">
        <v>12</v>
      </c>
      <c r="B15" s="6"/>
      <c r="C15" s="6"/>
      <c r="D15" s="6"/>
      <c r="E15" s="6"/>
      <c r="F15" s="6"/>
      <c r="G15" s="6" t="n">
        <v>152.664539</v>
      </c>
      <c r="H15" s="6" t="n">
        <v>156.782613</v>
      </c>
      <c r="I15" s="6" t="n">
        <v>155.577092</v>
      </c>
      <c r="J15" s="6" t="n">
        <v>160.282535</v>
      </c>
      <c r="K15" s="6" t="n">
        <v>156.924403</v>
      </c>
      <c r="M15" s="7" t="s">
        <v>38</v>
      </c>
      <c r="N15" s="8" t="s">
        <v>39</v>
      </c>
      <c r="Q15" s="9" t="n">
        <v>4000</v>
      </c>
      <c r="R15" s="6" t="n">
        <v>213.065339</v>
      </c>
    </row>
    <row r="16" customFormat="false" ht="15" hidden="false" customHeight="true" outlineLevel="0" collapsed="false">
      <c r="A16" s="5" t="n">
        <v>13</v>
      </c>
      <c r="B16" s="6"/>
      <c r="C16" s="6"/>
      <c r="D16" s="6"/>
      <c r="E16" s="6"/>
      <c r="F16" s="6"/>
      <c r="G16" s="6" t="n">
        <v>127.726041</v>
      </c>
      <c r="H16" s="6" t="n">
        <v>159.271965</v>
      </c>
      <c r="I16" s="6" t="n">
        <v>115.449466</v>
      </c>
      <c r="J16" s="6" t="n">
        <v>149.685834</v>
      </c>
      <c r="K16" s="6" t="n">
        <v>163.257088</v>
      </c>
      <c r="M16" s="7" t="s">
        <v>40</v>
      </c>
      <c r="N16" s="8" t="s">
        <v>27</v>
      </c>
      <c r="Q16" s="9" t="n">
        <v>4000</v>
      </c>
      <c r="R16" s="6" t="n">
        <v>203.236882</v>
      </c>
    </row>
    <row r="17" customFormat="false" ht="15" hidden="false" customHeight="true" outlineLevel="0" collapsed="false">
      <c r="A17" s="5" t="n">
        <v>14</v>
      </c>
      <c r="B17" s="6"/>
      <c r="C17" s="6"/>
      <c r="D17" s="6"/>
      <c r="E17" s="6"/>
      <c r="F17" s="6"/>
      <c r="G17" s="6" t="n">
        <v>130.560515</v>
      </c>
      <c r="H17" s="6" t="n">
        <v>147.560257</v>
      </c>
      <c r="I17" s="6" t="n">
        <v>116.02836</v>
      </c>
      <c r="J17" s="6" t="n">
        <v>126.919337</v>
      </c>
      <c r="K17" s="6" t="n">
        <v>139.046199</v>
      </c>
      <c r="M17" s="7" t="s">
        <v>41</v>
      </c>
      <c r="N17" s="8" t="s">
        <v>42</v>
      </c>
      <c r="Q17" s="9" t="n">
        <v>4000</v>
      </c>
      <c r="R17" s="6" t="n">
        <v>182.321812</v>
      </c>
    </row>
    <row r="18" customFormat="false" ht="15" hidden="false" customHeight="true" outlineLevel="0" collapsed="false">
      <c r="A18" s="5" t="n">
        <v>15</v>
      </c>
      <c r="B18" s="6"/>
      <c r="C18" s="6"/>
      <c r="D18" s="6"/>
      <c r="E18" s="6"/>
      <c r="F18" s="6"/>
      <c r="G18" s="6" t="n">
        <v>136.394435</v>
      </c>
      <c r="H18" s="6" t="n">
        <v>147.792456</v>
      </c>
      <c r="I18" s="6" t="n">
        <v>112.652587</v>
      </c>
      <c r="J18" s="6" t="n">
        <v>111.488343</v>
      </c>
      <c r="K18" s="6" t="n">
        <v>126.370419</v>
      </c>
      <c r="M18" s="7" t="s">
        <v>43</v>
      </c>
      <c r="N18" s="8" t="s">
        <v>44</v>
      </c>
      <c r="Q18" s="9" t="n">
        <v>4000</v>
      </c>
      <c r="R18" s="6" t="n">
        <v>148.333332</v>
      </c>
    </row>
    <row r="19" customFormat="false" ht="15" hidden="false" customHeight="true" outlineLevel="0" collapsed="false">
      <c r="A19" s="5" t="n">
        <v>16</v>
      </c>
      <c r="B19" s="6"/>
      <c r="C19" s="6"/>
      <c r="D19" s="6"/>
      <c r="E19" s="6"/>
      <c r="F19" s="6"/>
      <c r="G19" s="6" t="n">
        <v>132.624647</v>
      </c>
      <c r="H19" s="6" t="n">
        <v>149.600661</v>
      </c>
      <c r="I19" s="6" t="n">
        <v>123.055028</v>
      </c>
      <c r="J19" s="6" t="n">
        <v>107.847815</v>
      </c>
      <c r="K19" s="6" t="n">
        <v>134.448718</v>
      </c>
      <c r="M19" s="7" t="s">
        <v>45</v>
      </c>
      <c r="N19" s="8" t="s">
        <v>46</v>
      </c>
      <c r="Q19" s="9" t="n">
        <v>4000</v>
      </c>
      <c r="R19" s="6" t="n">
        <v>175.798451</v>
      </c>
    </row>
    <row r="20" customFormat="false" ht="15" hidden="false" customHeight="true" outlineLevel="0" collapsed="false">
      <c r="A20" s="5" t="n">
        <v>17</v>
      </c>
      <c r="B20" s="6"/>
      <c r="C20" s="6"/>
      <c r="D20" s="6"/>
      <c r="E20" s="6"/>
      <c r="F20" s="6"/>
      <c r="G20" s="6"/>
      <c r="H20" s="6" t="n">
        <v>147.7758</v>
      </c>
      <c r="I20" s="6" t="n">
        <v>161.764925</v>
      </c>
      <c r="J20" s="6" t="n">
        <v>110.467418</v>
      </c>
      <c r="K20" s="6" t="n">
        <v>164.0767</v>
      </c>
      <c r="M20" s="7" t="s">
        <v>47</v>
      </c>
      <c r="N20" s="8" t="s">
        <v>48</v>
      </c>
      <c r="Q20" s="9" t="n">
        <v>4000</v>
      </c>
      <c r="R20" s="6" t="n">
        <v>169.966928</v>
      </c>
    </row>
    <row r="21" customFormat="false" ht="15" hidden="false" customHeight="true" outlineLevel="0" collapsed="false">
      <c r="A21" s="5" t="n">
        <v>18</v>
      </c>
      <c r="B21" s="6"/>
      <c r="C21" s="6"/>
      <c r="D21" s="6"/>
      <c r="E21" s="6"/>
      <c r="F21" s="6"/>
      <c r="G21" s="6"/>
      <c r="H21" s="6" t="n">
        <v>154.250452</v>
      </c>
      <c r="I21" s="6" t="n">
        <v>164.779269</v>
      </c>
      <c r="J21" s="6" t="n">
        <v>155.651871</v>
      </c>
      <c r="K21" s="6" t="n">
        <v>152.689549</v>
      </c>
      <c r="M21" s="7" t="s">
        <v>49</v>
      </c>
      <c r="N21" s="8" t="s">
        <v>50</v>
      </c>
      <c r="Q21" s="9" t="n">
        <v>4000</v>
      </c>
      <c r="R21" s="6" t="n">
        <v>155.251944</v>
      </c>
    </row>
    <row r="22" customFormat="false" ht="15" hidden="false" customHeight="true" outlineLevel="0" collapsed="false">
      <c r="A22" s="5" t="n">
        <v>19</v>
      </c>
      <c r="B22" s="6"/>
      <c r="C22" s="6"/>
      <c r="D22" s="6"/>
      <c r="E22" s="6"/>
      <c r="F22" s="6"/>
      <c r="G22" s="6"/>
      <c r="H22" s="6" t="n">
        <v>154.24143</v>
      </c>
      <c r="I22" s="6" t="n">
        <v>163.917741</v>
      </c>
      <c r="J22" s="6" t="n">
        <v>153.18685</v>
      </c>
      <c r="K22" s="6" t="n">
        <v>149.396797</v>
      </c>
      <c r="M22" s="7" t="s">
        <v>51</v>
      </c>
      <c r="N22" s="8" t="s">
        <v>52</v>
      </c>
      <c r="Q22" s="9" t="n">
        <v>4000</v>
      </c>
      <c r="R22" s="6" t="n">
        <v>181.031783</v>
      </c>
    </row>
    <row r="23" customFormat="false" ht="15" hidden="false" customHeight="true" outlineLevel="0" collapsed="false">
      <c r="A23" s="5" t="n">
        <v>20</v>
      </c>
      <c r="B23" s="6"/>
      <c r="C23" s="6"/>
      <c r="D23" s="6"/>
      <c r="E23" s="6"/>
      <c r="F23" s="6"/>
      <c r="G23" s="6"/>
      <c r="H23" s="6" t="n">
        <v>136.089358</v>
      </c>
      <c r="I23" s="6" t="n">
        <v>150.990173</v>
      </c>
      <c r="J23" s="6" t="n">
        <v>159.052436</v>
      </c>
      <c r="K23" s="6" t="n">
        <v>145.90408</v>
      </c>
      <c r="Q23" s="9" t="n">
        <v>4000</v>
      </c>
      <c r="R23" s="6" t="n">
        <v>168.9648</v>
      </c>
    </row>
    <row r="24" customFormat="false" ht="15" hidden="false" customHeight="true" outlineLevel="0" collapsed="false">
      <c r="A24" s="10" t="s">
        <v>53</v>
      </c>
      <c r="B24" s="11" t="n">
        <f aca="false">COUNT(B4:B23)</f>
        <v>10</v>
      </c>
      <c r="C24" s="11" t="n">
        <f aca="false">COUNT(C4:C23)</f>
        <v>10</v>
      </c>
      <c r="D24" s="11" t="n">
        <f aca="false">COUNT(D4:D23)</f>
        <v>10</v>
      </c>
      <c r="E24" s="11" t="n">
        <f aca="false">COUNT(E4:E23)</f>
        <v>10</v>
      </c>
      <c r="F24" s="11" t="n">
        <f aca="false">COUNT(F4:F23)</f>
        <v>10</v>
      </c>
      <c r="G24" s="11" t="n">
        <f aca="false">COUNT(G4:G23)</f>
        <v>16</v>
      </c>
      <c r="H24" s="11" t="n">
        <f aca="false">COUNT(H4:H23)</f>
        <v>20</v>
      </c>
      <c r="I24" s="11" t="n">
        <f aca="false">COUNT(I4:I23)</f>
        <v>20</v>
      </c>
      <c r="J24" s="11" t="n">
        <f aca="false">COUNT(J4:J23)</f>
        <v>20</v>
      </c>
      <c r="K24" s="11" t="n">
        <f aca="false">COUNT(K4:K23)</f>
        <v>20</v>
      </c>
      <c r="Q24" s="9" t="n">
        <v>6000</v>
      </c>
      <c r="R24" s="6" t="n">
        <v>154.768828</v>
      </c>
    </row>
    <row r="25" customFormat="false" ht="15" hidden="false" customHeight="true" outlineLevel="0" collapsed="false">
      <c r="A25" s="10" t="s">
        <v>54</v>
      </c>
      <c r="B25" s="12" t="n">
        <f aca="false">MIN(B4:B23)</f>
        <v>184.734949</v>
      </c>
      <c r="C25" s="12" t="n">
        <f aca="false">MIN(C4:C23)</f>
        <v>148.333332</v>
      </c>
      <c r="D25" s="12" t="n">
        <f aca="false">MIN(D4:D23)</f>
        <v>153.67795</v>
      </c>
      <c r="E25" s="12" t="n">
        <f aca="false">MIN(E4:E23)</f>
        <v>141.649012</v>
      </c>
      <c r="F25" s="12" t="n">
        <f aca="false">MIN(F4:F23)</f>
        <v>146.619531</v>
      </c>
      <c r="G25" s="12" t="n">
        <f aca="false">MIN(G4:G23)</f>
        <v>127.726041</v>
      </c>
      <c r="H25" s="12" t="n">
        <f aca="false">MIN(H4:H23)</f>
        <v>136.089358</v>
      </c>
      <c r="I25" s="12" t="n">
        <f aca="false">MIN(I4:I23)</f>
        <v>112.652587</v>
      </c>
      <c r="J25" s="12" t="n">
        <f aca="false">MIN(J4:J23)</f>
        <v>107.847815</v>
      </c>
      <c r="K25" s="12" t="n">
        <f aca="false">MIN(K4:K23)</f>
        <v>126.370419</v>
      </c>
      <c r="Q25" s="9" t="n">
        <v>6000</v>
      </c>
      <c r="R25" s="6" t="n">
        <v>159.226082</v>
      </c>
    </row>
    <row r="26" customFormat="false" ht="15" hidden="false" customHeight="true" outlineLevel="0" collapsed="false">
      <c r="A26" s="10" t="s">
        <v>55</v>
      </c>
      <c r="B26" s="12" t="n">
        <f aca="false">MAX(B4:B23)</f>
        <v>221.980193</v>
      </c>
      <c r="C26" s="12" t="n">
        <f aca="false">MAX(C4:C23)</f>
        <v>213.065339</v>
      </c>
      <c r="D26" s="12" t="n">
        <f aca="false">MAX(D4:D23)</f>
        <v>177.908341</v>
      </c>
      <c r="E26" s="12" t="n">
        <f aca="false">MAX(E4:E23)</f>
        <v>187.368105</v>
      </c>
      <c r="F26" s="12" t="n">
        <f aca="false">MAX(F4:F23)</f>
        <v>170.085073</v>
      </c>
      <c r="G26" s="12" t="n">
        <f aca="false">MAX(G4:G23)</f>
        <v>169.239332</v>
      </c>
      <c r="H26" s="12" t="n">
        <f aca="false">MAX(H4:H23)</f>
        <v>166.108684</v>
      </c>
      <c r="I26" s="12" t="n">
        <f aca="false">MAX(I4:I23)</f>
        <v>164.779269</v>
      </c>
      <c r="J26" s="12" t="n">
        <f aca="false">MAX(J4:J23)</f>
        <v>167.142495</v>
      </c>
      <c r="K26" s="12" t="n">
        <f aca="false">MAX(K4:K23)</f>
        <v>164.0767</v>
      </c>
      <c r="Q26" s="9" t="n">
        <v>6000</v>
      </c>
      <c r="R26" s="6" t="n">
        <v>173.890832</v>
      </c>
    </row>
    <row r="27" customFormat="false" ht="15" hidden="false" customHeight="true" outlineLevel="0" collapsed="false">
      <c r="A27" s="10" t="s">
        <v>56</v>
      </c>
      <c r="B27" s="12" t="n">
        <f aca="false">AVERAGE(B4:B23)</f>
        <v>206.0925255</v>
      </c>
      <c r="C27" s="12" t="n">
        <f aca="false">AVERAGE(C4:C23)</f>
        <v>180.4160811</v>
      </c>
      <c r="D27" s="12" t="n">
        <f aca="false">AVERAGE(D4:D23)</f>
        <v>165.5701857</v>
      </c>
      <c r="E27" s="12" t="n">
        <f aca="false">AVERAGE(E4:E23)</f>
        <v>167.4466441</v>
      </c>
      <c r="F27" s="12" t="n">
        <f aca="false">AVERAGE(F4:F23)</f>
        <v>162.0649358</v>
      </c>
      <c r="G27" s="12" t="n">
        <f aca="false">AVERAGE(G4:G23)</f>
        <v>153.699254375</v>
      </c>
      <c r="H27" s="12" t="n">
        <f aca="false">AVERAGE(H4:H23)</f>
        <v>155.84937025</v>
      </c>
      <c r="I27" s="12" t="n">
        <f aca="false">AVERAGE(I4:I23)</f>
        <v>150.3939371</v>
      </c>
      <c r="J27" s="12" t="n">
        <f aca="false">AVERAGE(J4:J23)</f>
        <v>147.85605305</v>
      </c>
      <c r="K27" s="12" t="n">
        <f aca="false">AVERAGE(K4:K23)</f>
        <v>152.3408211</v>
      </c>
      <c r="Q27" s="9" t="n">
        <v>6000</v>
      </c>
      <c r="R27" s="6" t="n">
        <v>163.82577</v>
      </c>
    </row>
    <row r="28" customFormat="false" ht="15" hidden="false" customHeight="true" outlineLevel="0" collapsed="false">
      <c r="A28" s="10" t="s">
        <v>57</v>
      </c>
      <c r="B28" s="13" t="n">
        <f aca="false">B27/$N$22*100</f>
        <v>51.9386404989919</v>
      </c>
      <c r="C28" s="13" t="n">
        <f aca="false">C27/$N$22*100</f>
        <v>45.4677623739919</v>
      </c>
      <c r="D28" s="13" t="n">
        <f aca="false">D27/$N$22*100</f>
        <v>41.7263572832661</v>
      </c>
      <c r="E28" s="13" t="n">
        <f aca="false">E27/$N$22*100</f>
        <v>42.1992550655242</v>
      </c>
      <c r="F28" s="13" t="n">
        <f aca="false">F27/$N$22*100</f>
        <v>40.8429777721774</v>
      </c>
      <c r="G28" s="13" t="n">
        <f aca="false">G27/$N$22*100</f>
        <v>38.7346911227319</v>
      </c>
      <c r="H28" s="13" t="n">
        <f aca="false">H27/$N$22*100</f>
        <v>39.2765550025202</v>
      </c>
      <c r="I28" s="13" t="n">
        <f aca="false">I27/$N$22*100</f>
        <v>37.9016978578629</v>
      </c>
      <c r="J28" s="13" t="n">
        <f aca="false">J27/$N$22*100</f>
        <v>37.2621101436492</v>
      </c>
      <c r="K28" s="13" t="n">
        <f aca="false">K27/$N$22*100</f>
        <v>38.3923440272177</v>
      </c>
      <c r="Q28" s="9" t="n">
        <v>6000</v>
      </c>
      <c r="R28" s="6" t="n">
        <v>156.267598</v>
      </c>
    </row>
    <row r="29" customFormat="false" ht="15" hidden="false" customHeight="false" outlineLevel="0" collapsed="false">
      <c r="Q29" s="9" t="n">
        <v>6000</v>
      </c>
      <c r="R29" s="6" t="n">
        <v>164.569068</v>
      </c>
    </row>
    <row r="30" customFormat="false" ht="15" hidden="false" customHeight="false" outlineLevel="0" collapsed="false">
      <c r="Q30" s="9" t="n">
        <v>6000</v>
      </c>
      <c r="R30" s="6" t="n">
        <v>153.67795</v>
      </c>
    </row>
    <row r="31" customFormat="false" ht="15" hidden="false" customHeight="true" outlineLevel="0" collapsed="false">
      <c r="A31" s="14" t="s">
        <v>58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Q31" s="9" t="n">
        <v>6000</v>
      </c>
      <c r="R31" s="6" t="n">
        <v>175.180896</v>
      </c>
    </row>
    <row r="32" customFormat="false" ht="15" hidden="false" customHeight="true" outlineLevel="0" collapsed="false">
      <c r="A32" s="3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  <c r="K32" s="3" t="s">
        <v>11</v>
      </c>
      <c r="Q32" s="9" t="n">
        <v>6000</v>
      </c>
      <c r="R32" s="6" t="n">
        <v>176.386492</v>
      </c>
    </row>
    <row r="33" customFormat="false" ht="15" hidden="false" customHeight="true" outlineLevel="0" collapsed="false">
      <c r="A33" s="5" t="n">
        <v>1</v>
      </c>
      <c r="B33" s="15" t="n">
        <f aca="false">IF(B4="","",B4/$N$22*100)</f>
        <v>51.0654566532258</v>
      </c>
      <c r="C33" s="15" t="n">
        <f aca="false">IF(C4="","",C4/$N$22*100)</f>
        <v>51.9630897177419</v>
      </c>
      <c r="D33" s="15" t="n">
        <f aca="false">IF(D4="","",D4/$N$22*100)</f>
        <v>39.0042409274194</v>
      </c>
      <c r="E33" s="15" t="n">
        <f aca="false">IF(E4="","",E4/$N$22*100)</f>
        <v>45.3555577116936</v>
      </c>
      <c r="F33" s="15" t="n">
        <f aca="false">IF(F4="","",F4/$N$22*100)</f>
        <v>40.5646217237903</v>
      </c>
      <c r="G33" s="15" t="n">
        <f aca="false">IF(G4="","",G4/$N$22*100)</f>
        <v>40.7092542842742</v>
      </c>
      <c r="H33" s="15" t="n">
        <f aca="false">IF(H4="","",H4/$N$22*100)</f>
        <v>41.8620675403226</v>
      </c>
      <c r="I33" s="15" t="n">
        <f aca="false">IF(I4="","",I4/$N$22*100)</f>
        <v>38.9307484879032</v>
      </c>
      <c r="J33" s="15" t="n">
        <f aca="false">IF(J4="","",J4/$N$22*100)</f>
        <v>40.079978578629</v>
      </c>
      <c r="K33" s="15" t="n">
        <f aca="false">IF(K4="","",K4/$N$22*100)</f>
        <v>40.1775438508065</v>
      </c>
      <c r="Q33" s="9" t="n">
        <v>6000</v>
      </c>
      <c r="R33" s="6" t="n">
        <v>177.908341</v>
      </c>
    </row>
    <row r="34" customFormat="false" ht="15" hidden="false" customHeight="true" outlineLevel="0" collapsed="false">
      <c r="A34" s="5" t="n">
        <v>2</v>
      </c>
      <c r="B34" s="15" t="n">
        <f aca="false">IF(B5="","",B5/$N$22*100)</f>
        <v>53.1744417842742</v>
      </c>
      <c r="C34" s="15" t="n">
        <f aca="false">IF(C5="","",C5/$N$22*100)</f>
        <v>53.6959019657258</v>
      </c>
      <c r="D34" s="15" t="n">
        <f aca="false">IF(D5="","",D5/$N$22*100)</f>
        <v>40.1275408266129</v>
      </c>
      <c r="E34" s="15" t="n">
        <f aca="false">IF(E5="","",E5/$N$22*100)</f>
        <v>44.9993782762097</v>
      </c>
      <c r="F34" s="15" t="n">
        <f aca="false">IF(F5="","",F5/$N$22*100)</f>
        <v>42.7564112903226</v>
      </c>
      <c r="G34" s="15" t="n">
        <f aca="false">IF(G5="","",G5/$N$22*100)</f>
        <v>41.7454251512097</v>
      </c>
      <c r="H34" s="15" t="n">
        <f aca="false">IF(H5="","",H5/$N$22*100)</f>
        <v>40.8379538810484</v>
      </c>
      <c r="I34" s="15" t="n">
        <f aca="false">IF(I5="","",I5/$N$22*100)</f>
        <v>39.8613354334677</v>
      </c>
      <c r="J34" s="15" t="n">
        <f aca="false">IF(J5="","",J5/$N$22*100)</f>
        <v>35.7747993951613</v>
      </c>
      <c r="K34" s="15" t="n">
        <f aca="false">IF(K5="","",K5/$N$22*100)</f>
        <v>37.4601832157258</v>
      </c>
      <c r="Q34" s="9" t="n">
        <v>8000</v>
      </c>
      <c r="R34" s="6" t="n">
        <v>179.970853</v>
      </c>
    </row>
    <row r="35" customFormat="false" ht="15" hidden="false" customHeight="true" outlineLevel="0" collapsed="false">
      <c r="A35" s="5" t="n">
        <v>3</v>
      </c>
      <c r="B35" s="15" t="n">
        <f aca="false">IF(B6="","",B6/$N$22*100)</f>
        <v>50.5398177923387</v>
      </c>
      <c r="C35" s="15" t="n">
        <f aca="false">IF(C6="","",C6/$N$22*100)</f>
        <v>51.2189722782258</v>
      </c>
      <c r="D35" s="15" t="n">
        <f aca="false">IF(D6="","",D6/$N$22*100)</f>
        <v>43.8232943548387</v>
      </c>
      <c r="E35" s="15" t="n">
        <f aca="false">IF(E6="","",E6/$N$22*100)</f>
        <v>44.7666940524194</v>
      </c>
      <c r="F35" s="15" t="n">
        <f aca="false">IF(F6="","",F6/$N$22*100)</f>
        <v>42.1026658266129</v>
      </c>
      <c r="G35" s="15" t="n">
        <f aca="false">IF(G6="","",G6/$N$22*100)</f>
        <v>42.0032247983871</v>
      </c>
      <c r="H35" s="15" t="n">
        <f aca="false">IF(H6="","",H6/$N$22*100)</f>
        <v>39.0493336693548</v>
      </c>
      <c r="I35" s="15" t="n">
        <f aca="false">IF(I6="","",I6/$N$22*100)</f>
        <v>40.8269654737903</v>
      </c>
      <c r="J35" s="15" t="n">
        <f aca="false">IF(J6="","",J6/$N$22*100)</f>
        <v>39.1401713709677</v>
      </c>
      <c r="K35" s="15" t="n">
        <f aca="false">IF(K6="","",K6/$N$22*100)</f>
        <v>39.5691658266129</v>
      </c>
      <c r="Q35" s="9" t="n">
        <v>8000</v>
      </c>
      <c r="R35" s="6" t="n">
        <v>178.557533</v>
      </c>
    </row>
    <row r="36" customFormat="false" ht="15" hidden="false" customHeight="true" outlineLevel="0" collapsed="false">
      <c r="A36" s="5" t="n">
        <v>4</v>
      </c>
      <c r="B36" s="15" t="n">
        <f aca="false">IF(B7="","",B7/$N$22*100)</f>
        <v>53.0450481350806</v>
      </c>
      <c r="C36" s="15" t="n">
        <f aca="false">IF(C7="","",C7/$N$22*100)</f>
        <v>45.9480372983871</v>
      </c>
      <c r="D36" s="15" t="n">
        <f aca="false">IF(D7="","",D7/$N$22*100)</f>
        <v>41.286736391129</v>
      </c>
      <c r="E36" s="15" t="n">
        <f aca="false">IF(E7="","",E7/$N$22*100)</f>
        <v>47.2197845262097</v>
      </c>
      <c r="F36" s="15" t="n">
        <f aca="false">IF(F7="","",F7/$N$22*100)</f>
        <v>40.4980357862903</v>
      </c>
      <c r="G36" s="15" t="n">
        <f aca="false">IF(G7="","",G7/$N$22*100)</f>
        <v>41.3304029737903</v>
      </c>
      <c r="H36" s="15" t="n">
        <f aca="false">IF(H7="","",H7/$N$22*100)</f>
        <v>40.7639944556452</v>
      </c>
      <c r="I36" s="15" t="n">
        <f aca="false">IF(I7="","",I7/$N$22*100)</f>
        <v>41.172380796371</v>
      </c>
      <c r="J36" s="15" t="n">
        <f aca="false">IF(J7="","",J7/$N$22*100)</f>
        <v>38.5533402217742</v>
      </c>
      <c r="K36" s="15" t="n">
        <f aca="false">IF(K7="","",K7/$N$22*100)</f>
        <v>39.8256179435484</v>
      </c>
      <c r="Q36" s="9" t="n">
        <v>8000</v>
      </c>
      <c r="R36" s="6" t="n">
        <v>177.634242</v>
      </c>
    </row>
    <row r="37" customFormat="false" ht="15" hidden="false" customHeight="true" outlineLevel="0" collapsed="false">
      <c r="A37" s="5" t="n">
        <v>5</v>
      </c>
      <c r="B37" s="15" t="n">
        <f aca="false">IF(B8="","",B8/$N$22*100)</f>
        <v>55.9425889616936</v>
      </c>
      <c r="C37" s="15" t="n">
        <f aca="false">IF(C8="","",C8/$N$22*100)</f>
        <v>37.3823921370968</v>
      </c>
      <c r="D37" s="15" t="n">
        <f aca="false">IF(D8="","",D8/$N$22*100)</f>
        <v>39.381955141129</v>
      </c>
      <c r="E37" s="15" t="n">
        <f aca="false">IF(E8="","",E8/$N$22*100)</f>
        <v>45.9497502520161</v>
      </c>
      <c r="F37" s="15" t="n">
        <f aca="false">IF(F8="","",F8/$N$22*100)</f>
        <v>40.6905199092742</v>
      </c>
      <c r="G37" s="15" t="n">
        <f aca="false">IF(G8="","",G8/$N$22*100)</f>
        <v>42.6510413306452</v>
      </c>
      <c r="H37" s="15" t="n">
        <f aca="false">IF(H8="","",H8/$N$22*100)</f>
        <v>39.7492953629032</v>
      </c>
      <c r="I37" s="15" t="n">
        <f aca="false">IF(I8="","",I8/$N$22*100)</f>
        <v>39.339447328629</v>
      </c>
      <c r="J37" s="15" t="n">
        <f aca="false">IF(J8="","",J8/$N$22*100)</f>
        <v>40.8934153225806</v>
      </c>
      <c r="K37" s="15" t="n">
        <f aca="false">IF(K8="","",K8/$N$22*100)</f>
        <v>41.0268845766129</v>
      </c>
      <c r="Q37" s="9" t="n">
        <v>8000</v>
      </c>
      <c r="R37" s="6" t="n">
        <v>187.368105</v>
      </c>
    </row>
    <row r="38" customFormat="false" ht="15" hidden="false" customHeight="true" outlineLevel="0" collapsed="false">
      <c r="A38" s="5" t="n">
        <v>6</v>
      </c>
      <c r="B38" s="15" t="n">
        <f aca="false">IF(B9="","",B9/$N$22*100)</f>
        <v>54.3189652217742</v>
      </c>
      <c r="C38" s="15" t="n">
        <f aca="false">IF(C9="","",C9/$N$22*100)</f>
        <v>44.3040451108871</v>
      </c>
      <c r="D38" s="15" t="n">
        <f aca="false">IF(D9="","",D9/$N$22*100)</f>
        <v>41.4740594758065</v>
      </c>
      <c r="E38" s="15" t="n">
        <f aca="false">IF(E9="","",E9/$N$22*100)</f>
        <v>42.6353679435484</v>
      </c>
      <c r="F38" s="15" t="n">
        <f aca="false">IF(F9="","",F9/$N$22*100)</f>
        <v>42.864181703629</v>
      </c>
      <c r="G38" s="15" t="n">
        <f aca="false">IF(G9="","",G9/$N$22*100)</f>
        <v>41.3844808467742</v>
      </c>
      <c r="H38" s="15" t="n">
        <f aca="false">IF(H9="","",H9/$N$22*100)</f>
        <v>41.5526121471774</v>
      </c>
      <c r="I38" s="15" t="n">
        <f aca="false">IF(I9="","",I9/$N$22*100)</f>
        <v>40.6920745967742</v>
      </c>
      <c r="J38" s="15" t="n">
        <f aca="false">IF(J9="","",J9/$N$22*100)</f>
        <v>37.5866610383064</v>
      </c>
      <c r="K38" s="15" t="n">
        <f aca="false">IF(K9="","",K9/$N$22*100)</f>
        <v>36.6886287802419</v>
      </c>
      <c r="Q38" s="9" t="n">
        <v>8000</v>
      </c>
      <c r="R38" s="6" t="n">
        <v>182.328609</v>
      </c>
    </row>
    <row r="39" customFormat="false" ht="15" hidden="false" customHeight="true" outlineLevel="0" collapsed="false">
      <c r="A39" s="5" t="n">
        <v>7</v>
      </c>
      <c r="B39" s="15" t="n">
        <f aca="false">IF(B10="","",B10/$N$22*100)</f>
        <v>51.1581512096774</v>
      </c>
      <c r="C39" s="15" t="n">
        <f aca="false">IF(C10="","",C10/$N$22*100)</f>
        <v>42.8344072580645</v>
      </c>
      <c r="D39" s="15" t="n">
        <f aca="false">IF(D10="","",D10/$N$22*100)</f>
        <v>38.7293220766129</v>
      </c>
      <c r="E39" s="15" t="n">
        <f aca="false">IF(E10="","",E10/$N$22*100)</f>
        <v>39.8115549395161</v>
      </c>
      <c r="F39" s="15" t="n">
        <f aca="false">IF(F10="","",F10/$N$22*100)</f>
        <v>42.0644868951613</v>
      </c>
      <c r="G39" s="15" t="n">
        <f aca="false">IF(G10="","",G10/$N$22*100)</f>
        <v>39.0861204637097</v>
      </c>
      <c r="H39" s="15" t="n">
        <f aca="false">IF(H10="","",H10/$N$22*100)</f>
        <v>41.2452515120968</v>
      </c>
      <c r="I39" s="15" t="n">
        <f aca="false">IF(I10="","",I10/$N$22*100)</f>
        <v>39.5454836189516</v>
      </c>
      <c r="J39" s="15" t="n">
        <f aca="false">IF(J10="","",J10/$N$22*100)</f>
        <v>39.0256083669355</v>
      </c>
      <c r="K39" s="15" t="n">
        <f aca="false">IF(K10="","",K10/$N$22*100)</f>
        <v>39.4477943548387</v>
      </c>
      <c r="Q39" s="9" t="n">
        <v>8000</v>
      </c>
      <c r="R39" s="6" t="n">
        <v>169.17714</v>
      </c>
    </row>
    <row r="40" customFormat="false" ht="15" hidden="false" customHeight="true" outlineLevel="0" collapsed="false">
      <c r="A40" s="5" t="n">
        <v>8</v>
      </c>
      <c r="B40" s="15" t="n">
        <f aca="false">IF(B11="","",B11/$N$22*100)</f>
        <v>46.5561867439516</v>
      </c>
      <c r="C40" s="15" t="n">
        <f aca="false">IF(C11="","",C11/$N$22*100)</f>
        <v>39.1259939516129</v>
      </c>
      <c r="D40" s="15" t="n">
        <f aca="false">IF(D11="","",D11/$N$22*100)</f>
        <v>44.1484112903226</v>
      </c>
      <c r="E40" s="15" t="n">
        <f aca="false">IF(E11="","",E11/$N$22*100)</f>
        <v>39.4295955141129</v>
      </c>
      <c r="F40" s="15" t="n">
        <f aca="false">IF(F11="","",F11/$N$22*100)</f>
        <v>40.5535027721774</v>
      </c>
      <c r="G40" s="15" t="n">
        <f aca="false">IF(G11="","",G11/$N$22*100)</f>
        <v>41.6477298387097</v>
      </c>
      <c r="H40" s="15" t="n">
        <f aca="false">IF(H11="","",H11/$N$22*100)</f>
        <v>40.9910798891129</v>
      </c>
      <c r="I40" s="15" t="n">
        <f aca="false">IF(I11="","",I11/$N$22*100)</f>
        <v>40.2110826612903</v>
      </c>
      <c r="J40" s="15" t="n">
        <f aca="false">IF(J11="","",J11/$N$22*100)</f>
        <v>40.2552134576613</v>
      </c>
      <c r="K40" s="15" t="n">
        <f aca="false">IF(K11="","",K11/$N$22*100)</f>
        <v>40.4270574596774</v>
      </c>
      <c r="Q40" s="9" t="n">
        <v>8000</v>
      </c>
      <c r="R40" s="6" t="n">
        <v>157.97225</v>
      </c>
    </row>
    <row r="41" customFormat="false" ht="15" hidden="false" customHeight="true" outlineLevel="0" collapsed="false">
      <c r="A41" s="5" t="n">
        <v>9</v>
      </c>
      <c r="B41" s="15" t="n">
        <f aca="false">IF(B12="","",B12/$N$22*100)</f>
        <v>52.6602066532258</v>
      </c>
      <c r="C41" s="15" t="n">
        <f aca="false">IF(C12="","",C12/$N$22*100)</f>
        <v>45.6229291834677</v>
      </c>
      <c r="D41" s="15" t="n">
        <f aca="false">IF(D12="","",D12/$N$22*100)</f>
        <v>44.4522409274194</v>
      </c>
      <c r="E41" s="15" t="n">
        <f aca="false">IF(E12="","",E12/$N$22*100)</f>
        <v>36.1270317540323</v>
      </c>
      <c r="F41" s="15" t="n">
        <f aca="false">IF(F12="","",F12/$N$22*100)</f>
        <v>36.9504866431452</v>
      </c>
      <c r="G41" s="15" t="n">
        <f aca="false">IF(G12="","",G12/$N$22*100)</f>
        <v>42.2020347782258</v>
      </c>
      <c r="H41" s="15" t="n">
        <f aca="false">IF(H12="","",H12/$N$22*100)</f>
        <v>38.4459443044355</v>
      </c>
      <c r="I41" s="15" t="n">
        <f aca="false">IF(I12="","",I12/$N$22*100)</f>
        <v>39.2452121975806</v>
      </c>
      <c r="J41" s="15" t="n">
        <f aca="false">IF(J12="","",J12/$N$22*100)</f>
        <v>39.872173891129</v>
      </c>
      <c r="K41" s="15" t="n">
        <f aca="false">IF(K12="","",K12/$N$22*100)</f>
        <v>40.4474352318548</v>
      </c>
      <c r="Q41" s="9" t="n">
        <v>8000</v>
      </c>
      <c r="R41" s="6" t="n">
        <v>156.456635</v>
      </c>
    </row>
    <row r="42" customFormat="false" ht="15" hidden="false" customHeight="true" outlineLevel="0" collapsed="false">
      <c r="A42" s="5" t="n">
        <v>10</v>
      </c>
      <c r="B42" s="15" t="n">
        <f aca="false">IF(B13="","",B13/$N$22*100)</f>
        <v>50.9255418346774</v>
      </c>
      <c r="C42" s="15" t="n">
        <f aca="false">IF(C13="","",C13/$N$22*100)</f>
        <v>42.5818548387097</v>
      </c>
      <c r="D42" s="15" t="n">
        <f aca="false">IF(D13="","",D13/$N$22*100)</f>
        <v>44.835771421371</v>
      </c>
      <c r="E42" s="15" t="n">
        <f aca="false">IF(E13="","",E13/$N$22*100)</f>
        <v>35.6978356854839</v>
      </c>
      <c r="F42" s="15" t="n">
        <f aca="false">IF(F13="","",F13/$N$22*100)</f>
        <v>39.384865171371</v>
      </c>
      <c r="G42" s="15" t="n">
        <f aca="false">IF(G13="","",G13/$N$22*100)</f>
        <v>42.2879501008065</v>
      </c>
      <c r="H42" s="15" t="n">
        <f aca="false">IF(H13="","",H13/$N$22*100)</f>
        <v>40.5770955141129</v>
      </c>
      <c r="I42" s="15" t="n">
        <f aca="false">IF(I13="","",I13/$N$22*100)</f>
        <v>41.1893291330645</v>
      </c>
      <c r="J42" s="15" t="n">
        <f aca="false">IF(J13="","",J13/$N$22*100)</f>
        <v>40.8035493951613</v>
      </c>
      <c r="K42" s="15" t="n">
        <f aca="false">IF(K13="","",K13/$N$22*100)</f>
        <v>39.8304185987903</v>
      </c>
      <c r="Q42" s="9" t="n">
        <v>8000</v>
      </c>
      <c r="R42" s="6" t="n">
        <v>143.352062</v>
      </c>
    </row>
    <row r="43" customFormat="false" ht="15" hidden="false" customHeight="true" outlineLevel="0" collapsed="false">
      <c r="A43" s="5" t="n">
        <v>11</v>
      </c>
      <c r="B43" s="15"/>
      <c r="C43" s="15"/>
      <c r="D43" s="15"/>
      <c r="E43" s="15"/>
      <c r="F43" s="15"/>
      <c r="G43" s="15" t="n">
        <f aca="false">IF(G14="","",G14/$N$22*100)</f>
        <v>33.3439415322581</v>
      </c>
      <c r="H43" s="15" t="n">
        <f aca="false">IF(H14="","",H14/$N$22*100)</f>
        <v>39.3866653225807</v>
      </c>
      <c r="I43" s="15" t="n">
        <f aca="false">IF(I14="","",I14/$N$22*100)</f>
        <v>38.4174173387097</v>
      </c>
      <c r="J43" s="15" t="n">
        <f aca="false">IF(J14="","",J14/$N$22*100)</f>
        <v>42.1226045866936</v>
      </c>
      <c r="K43" s="15" t="n">
        <f aca="false">IF(K14="","",K14/$N$22*100)</f>
        <v>37.2319488407258</v>
      </c>
      <c r="Q43" s="9" t="n">
        <v>8000</v>
      </c>
      <c r="R43" s="6" t="n">
        <v>141.649012</v>
      </c>
    </row>
    <row r="44" customFormat="false" ht="15" hidden="false" customHeight="true" outlineLevel="0" collapsed="false">
      <c r="A44" s="5" t="n">
        <v>12</v>
      </c>
      <c r="B44" s="15"/>
      <c r="C44" s="15"/>
      <c r="D44" s="15"/>
      <c r="E44" s="15"/>
      <c r="F44" s="15"/>
      <c r="G44" s="15" t="n">
        <f aca="false">IF(G15="","",G15/$N$22*100)</f>
        <v>38.4739261592742</v>
      </c>
      <c r="H44" s="15" t="n">
        <f aca="false">IF(H15="","",H15/$N$22*100)</f>
        <v>39.5117472278226</v>
      </c>
      <c r="I44" s="15" t="n">
        <f aca="false">IF(I15="","",I15/$N$22*100)</f>
        <v>39.2079364919355</v>
      </c>
      <c r="J44" s="15" t="n">
        <f aca="false">IF(J15="","",J15/$N$22*100)</f>
        <v>40.3937840221774</v>
      </c>
      <c r="K44" s="15" t="n">
        <f aca="false">IF(K15="","",K15/$N$22*100)</f>
        <v>39.5474805947581</v>
      </c>
      <c r="Q44" s="9" t="n">
        <v>10000</v>
      </c>
      <c r="R44" s="6" t="n">
        <v>160.960419</v>
      </c>
    </row>
    <row r="45" customFormat="false" ht="15" hidden="false" customHeight="true" outlineLevel="0" collapsed="false">
      <c r="A45" s="5" t="n">
        <v>13</v>
      </c>
      <c r="B45" s="15"/>
      <c r="C45" s="15"/>
      <c r="D45" s="15"/>
      <c r="E45" s="15"/>
      <c r="F45" s="15"/>
      <c r="G45" s="15" t="n">
        <f aca="false">IF(G16="","",G16/$N$22*100)</f>
        <v>32.1890224294355</v>
      </c>
      <c r="H45" s="15" t="n">
        <f aca="false">IF(H16="","",H16/$N$22*100)</f>
        <v>40.1391040826613</v>
      </c>
      <c r="I45" s="15" t="n">
        <f aca="false">IF(I16="","",I16/$N$22*100)</f>
        <v>29.0951275201613</v>
      </c>
      <c r="J45" s="15" t="n">
        <f aca="false">IF(J16="","",J16/$N$22*100)</f>
        <v>37.7232444556452</v>
      </c>
      <c r="K45" s="15" t="n">
        <f aca="false">IF(K16="","",K16/$N$22*100)</f>
        <v>41.1434193548387</v>
      </c>
      <c r="Q45" s="9" t="n">
        <v>10000</v>
      </c>
      <c r="R45" s="6" t="n">
        <v>169.65744</v>
      </c>
    </row>
    <row r="46" customFormat="false" ht="15" hidden="false" customHeight="true" outlineLevel="0" collapsed="false">
      <c r="A46" s="5" t="n">
        <v>14</v>
      </c>
      <c r="B46" s="15"/>
      <c r="C46" s="15"/>
      <c r="D46" s="15"/>
      <c r="E46" s="15"/>
      <c r="F46" s="15"/>
      <c r="G46" s="15" t="n">
        <f aca="false">IF(G17="","",G17/$N$22*100)</f>
        <v>32.9033555947581</v>
      </c>
      <c r="H46" s="15" t="n">
        <f aca="false">IF(H17="","",H17/$N$22*100)</f>
        <v>37.1875647681452</v>
      </c>
      <c r="I46" s="15" t="n">
        <f aca="false">IF(I17="","",I17/$N$22*100)</f>
        <v>29.2410181451613</v>
      </c>
      <c r="J46" s="15" t="n">
        <f aca="false">IF(J17="","",J17/$N$22*100)</f>
        <v>31.9857200100806</v>
      </c>
      <c r="K46" s="15" t="n">
        <f aca="false">IF(K17="","",K17/$N$22*100)</f>
        <v>35.041884828629</v>
      </c>
      <c r="Q46" s="9" t="n">
        <v>10000</v>
      </c>
      <c r="R46" s="6" t="n">
        <v>167.063378</v>
      </c>
    </row>
    <row r="47" customFormat="false" ht="15" hidden="false" customHeight="true" outlineLevel="0" collapsed="false">
      <c r="A47" s="5" t="n">
        <v>15</v>
      </c>
      <c r="B47" s="15"/>
      <c r="C47" s="15"/>
      <c r="D47" s="15"/>
      <c r="E47" s="15"/>
      <c r="F47" s="15"/>
      <c r="G47" s="15" t="n">
        <f aca="false">IF(G18="","",G18/$N$22*100)</f>
        <v>34.3735975302419</v>
      </c>
      <c r="H47" s="15" t="n">
        <f aca="false">IF(H18="","",H18/$N$22*100)</f>
        <v>37.2460826612903</v>
      </c>
      <c r="I47" s="15" t="n">
        <f aca="false">IF(I18="","",I18/$N$22*100)</f>
        <v>28.3902689012097</v>
      </c>
      <c r="J47" s="15" t="n">
        <f aca="false">IF(J18="","",J18/$N$22*100)</f>
        <v>28.0968606350806</v>
      </c>
      <c r="K47" s="15" t="n">
        <f aca="false">IF(K18="","",K18/$N$22*100)</f>
        <v>31.8473838205645</v>
      </c>
      <c r="Q47" s="9" t="n">
        <v>10000</v>
      </c>
      <c r="R47" s="6" t="n">
        <v>160.696206</v>
      </c>
    </row>
    <row r="48" customFormat="false" ht="15" hidden="false" customHeight="true" outlineLevel="0" collapsed="false">
      <c r="A48" s="5" t="n">
        <v>16</v>
      </c>
      <c r="B48" s="15"/>
      <c r="C48" s="15"/>
      <c r="D48" s="15"/>
      <c r="E48" s="15"/>
      <c r="F48" s="15"/>
      <c r="G48" s="15" t="n">
        <f aca="false">IF(G19="","",G19/$N$22*100)</f>
        <v>33.4235501512097</v>
      </c>
      <c r="H48" s="15" t="n">
        <f aca="false">IF(H19="","",H19/$N$22*100)</f>
        <v>37.7017794858871</v>
      </c>
      <c r="I48" s="15" t="n">
        <f aca="false">IF(I19="","",I19/$N$22*100)</f>
        <v>31.0118518145161</v>
      </c>
      <c r="J48" s="15" t="n">
        <f aca="false">IF(J19="","",J19/$N$22*100)</f>
        <v>27.1793888608871</v>
      </c>
      <c r="K48" s="15" t="n">
        <f aca="false">IF(K19="","",K19/$N$22*100)</f>
        <v>33.8832454637097</v>
      </c>
      <c r="Q48" s="9" t="n">
        <v>10000</v>
      </c>
      <c r="R48" s="6" t="n">
        <v>161.459983</v>
      </c>
    </row>
    <row r="49" customFormat="false" ht="15" hidden="false" customHeight="true" outlineLevel="0" collapsed="false">
      <c r="A49" s="5" t="n">
        <v>17</v>
      </c>
      <c r="B49" s="15"/>
      <c r="C49" s="15"/>
      <c r="D49" s="15"/>
      <c r="E49" s="15"/>
      <c r="F49" s="15"/>
      <c r="G49" s="15"/>
      <c r="H49" s="15" t="n">
        <f aca="false">IF(H20="","",H20/$N$22*100)</f>
        <v>37.2418850806452</v>
      </c>
      <c r="I49" s="15" t="n">
        <f aca="false">IF(I20="","",I20/$N$22*100)</f>
        <v>40.7673702116935</v>
      </c>
      <c r="J49" s="15" t="n">
        <f aca="false">IF(J20="","",J20/$N$22*100)</f>
        <v>27.8395710685484</v>
      </c>
      <c r="K49" s="15" t="n">
        <f aca="false">IF(K20="","",K20/$N$22*100)</f>
        <v>41.3499747983871</v>
      </c>
      <c r="Q49" s="9" t="n">
        <v>10000</v>
      </c>
      <c r="R49" s="6" t="n">
        <v>170.085073</v>
      </c>
    </row>
    <row r="50" customFormat="false" ht="15" hidden="false" customHeight="true" outlineLevel="0" collapsed="false">
      <c r="A50" s="5" t="n">
        <v>18</v>
      </c>
      <c r="B50" s="15"/>
      <c r="C50" s="15"/>
      <c r="D50" s="15"/>
      <c r="E50" s="15"/>
      <c r="F50" s="15"/>
      <c r="G50" s="15"/>
      <c r="H50" s="15" t="n">
        <f aca="false">IF(H21="","",H21/$N$22*100)</f>
        <v>38.8736018145161</v>
      </c>
      <c r="I50" s="15" t="n">
        <f aca="false">IF(I21="","",I21/$N$22*100)</f>
        <v>41.5270335181452</v>
      </c>
      <c r="J50" s="15" t="n">
        <f aca="false">IF(J21="","",J21/$N$22*100)</f>
        <v>39.2267820060484</v>
      </c>
      <c r="K50" s="15" t="n">
        <f aca="false">IF(K21="","",K21/$N$22*100)</f>
        <v>38.4802290826613</v>
      </c>
      <c r="Q50" s="9" t="n">
        <v>10000</v>
      </c>
      <c r="R50" s="6" t="n">
        <v>166.911884</v>
      </c>
    </row>
    <row r="51" customFormat="false" ht="15" hidden="false" customHeight="true" outlineLevel="0" collapsed="false">
      <c r="A51" s="5" t="n">
        <v>19</v>
      </c>
      <c r="B51" s="15"/>
      <c r="C51" s="15"/>
      <c r="D51" s="15"/>
      <c r="E51" s="15"/>
      <c r="F51" s="15"/>
      <c r="G51" s="15"/>
      <c r="H51" s="15" t="n">
        <f aca="false">IF(H22="","",H22/$N$22*100)</f>
        <v>38.871328125</v>
      </c>
      <c r="I51" s="15" t="n">
        <f aca="false">IF(I22="","",I22/$N$22*100)</f>
        <v>41.3099145665323</v>
      </c>
      <c r="J51" s="15" t="n">
        <f aca="false">IF(J22="","",J22/$N$22*100)</f>
        <v>38.6055569556452</v>
      </c>
      <c r="K51" s="15" t="n">
        <f aca="false">IF(K22="","",K22/$N$22*100)</f>
        <v>37.6504024697581</v>
      </c>
      <c r="Q51" s="9" t="n">
        <v>10000</v>
      </c>
      <c r="R51" s="6" t="n">
        <v>160.916299</v>
      </c>
    </row>
    <row r="52" customFormat="false" ht="15" hidden="false" customHeight="true" outlineLevel="0" collapsed="false">
      <c r="A52" s="5" t="n">
        <v>20</v>
      </c>
      <c r="B52" s="15"/>
      <c r="C52" s="15"/>
      <c r="D52" s="15"/>
      <c r="E52" s="15"/>
      <c r="F52" s="15"/>
      <c r="G52" s="15"/>
      <c r="H52" s="15" t="n">
        <f aca="false">IF(H23="","",H23/$N$22*100)</f>
        <v>34.2967132056452</v>
      </c>
      <c r="I52" s="15" t="n">
        <f aca="false">IF(I23="","",I23/$N$22*100)</f>
        <v>38.051958921371</v>
      </c>
      <c r="J52" s="15" t="n">
        <f aca="false">IF(J23="","",J23/$N$22*100)</f>
        <v>40.083779233871</v>
      </c>
      <c r="K52" s="15" t="n">
        <f aca="false">IF(K23="","",K23/$N$22*100)</f>
        <v>36.7701814516129</v>
      </c>
      <c r="Q52" s="9" t="n">
        <v>10000</v>
      </c>
      <c r="R52" s="6" t="n">
        <v>146.619531</v>
      </c>
    </row>
    <row r="53" customFormat="false" ht="15" hidden="false" customHeight="true" outlineLevel="0" collapsed="false">
      <c r="A53" s="10" t="s">
        <v>56</v>
      </c>
      <c r="B53" s="13" t="n">
        <f aca="false">AVERAGE(B33:B52)</f>
        <v>51.9386404989919</v>
      </c>
      <c r="C53" s="13" t="n">
        <f aca="false">AVERAGE(C33:C52)</f>
        <v>45.4677623739919</v>
      </c>
      <c r="D53" s="13" t="n">
        <f aca="false">AVERAGE(D33:D52)</f>
        <v>41.7263572832661</v>
      </c>
      <c r="E53" s="13" t="n">
        <f aca="false">AVERAGE(E33:E52)</f>
        <v>42.1992550655242</v>
      </c>
      <c r="F53" s="13" t="n">
        <f aca="false">AVERAGE(F33:F52)</f>
        <v>40.8429777721774</v>
      </c>
      <c r="G53" s="13" t="n">
        <f aca="false">AVERAGE(G33:G52)</f>
        <v>38.7346911227319</v>
      </c>
      <c r="H53" s="13" t="n">
        <f aca="false">AVERAGE(H33:H52)</f>
        <v>39.2765550025202</v>
      </c>
      <c r="I53" s="13" t="n">
        <f aca="false">AVERAGE(I33:I52)</f>
        <v>37.9016978578629</v>
      </c>
      <c r="J53" s="13" t="n">
        <f aca="false">AVERAGE(J33:J52)</f>
        <v>37.2621101436492</v>
      </c>
      <c r="K53" s="13" t="n">
        <f aca="false">AVERAGE(K33:K52)</f>
        <v>38.3923440272177</v>
      </c>
      <c r="Q53" s="9" t="n">
        <v>10000</v>
      </c>
      <c r="R53" s="6" t="n">
        <v>156.279145</v>
      </c>
    </row>
    <row r="54" customFormat="false" ht="15" hidden="false" customHeight="false" outlineLevel="0" collapsed="false">
      <c r="Q54" s="9" t="n">
        <v>12000</v>
      </c>
      <c r="R54" s="6" t="n">
        <v>161.534321</v>
      </c>
    </row>
    <row r="55" customFormat="false" ht="15" hidden="false" customHeight="false" outlineLevel="0" collapsed="false">
      <c r="Q55" s="9" t="n">
        <v>12000</v>
      </c>
      <c r="R55" s="6" t="n">
        <v>165.645847</v>
      </c>
    </row>
    <row r="56" customFormat="false" ht="15" hidden="false" customHeight="true" outlineLevel="0" collapsed="false">
      <c r="A56" s="14" t="s">
        <v>59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Q56" s="9" t="n">
        <v>12000</v>
      </c>
      <c r="R56" s="6" t="n">
        <v>166.668796</v>
      </c>
    </row>
    <row r="57" customFormat="false" ht="15" hidden="false" customHeight="true" outlineLevel="0" collapsed="false">
      <c r="A57" s="16" t="s">
        <v>1</v>
      </c>
      <c r="B57" s="16" t="s">
        <v>2</v>
      </c>
      <c r="C57" s="16" t="s">
        <v>3</v>
      </c>
      <c r="D57" s="16" t="s">
        <v>4</v>
      </c>
      <c r="E57" s="16" t="s">
        <v>5</v>
      </c>
      <c r="F57" s="16" t="s">
        <v>6</v>
      </c>
      <c r="G57" s="16" t="s">
        <v>7</v>
      </c>
      <c r="Q57" s="9" t="n">
        <v>12000</v>
      </c>
      <c r="R57" s="6" t="n">
        <v>163.999039</v>
      </c>
    </row>
    <row r="58" customFormat="false" ht="15" hidden="false" customHeight="true" outlineLevel="0" collapsed="false">
      <c r="A58" s="5" t="n">
        <v>1</v>
      </c>
      <c r="B58" s="6" t="n">
        <v>85.794524</v>
      </c>
      <c r="C58" s="6" t="n">
        <v>80.193959</v>
      </c>
      <c r="D58" s="6" t="n">
        <v>65.32159</v>
      </c>
      <c r="E58" s="6" t="n">
        <v>65.138323</v>
      </c>
      <c r="F58" s="6" t="n">
        <v>59.734084</v>
      </c>
      <c r="G58" s="6" t="n">
        <v>62.346708</v>
      </c>
      <c r="Q58" s="9" t="n">
        <v>12000</v>
      </c>
      <c r="R58" s="6" t="n">
        <v>169.239332</v>
      </c>
    </row>
    <row r="59" customFormat="false" ht="15" hidden="false" customHeight="true" outlineLevel="0" collapsed="false">
      <c r="A59" s="5" t="n">
        <v>2</v>
      </c>
      <c r="B59" s="6" t="n">
        <v>81.393883</v>
      </c>
      <c r="C59" s="6" t="n">
        <v>81.099236</v>
      </c>
      <c r="D59" s="6" t="n">
        <v>70.987581</v>
      </c>
      <c r="E59" s="6" t="n">
        <v>64.11695</v>
      </c>
      <c r="F59" s="6" t="n">
        <v>67.047696</v>
      </c>
      <c r="G59" s="6" t="n">
        <v>58.556117</v>
      </c>
      <c r="Q59" s="9" t="n">
        <v>12000</v>
      </c>
      <c r="R59" s="6" t="n">
        <v>164.21362</v>
      </c>
    </row>
    <row r="60" customFormat="false" ht="15" hidden="false" customHeight="true" outlineLevel="0" collapsed="false">
      <c r="A60" s="5" t="n">
        <v>3</v>
      </c>
      <c r="B60" s="6" t="n">
        <v>86.536303</v>
      </c>
      <c r="C60" s="6" t="n">
        <v>79.730115</v>
      </c>
      <c r="D60" s="6" t="n">
        <v>77.757021</v>
      </c>
      <c r="E60" s="6" t="n">
        <v>58.610383</v>
      </c>
      <c r="F60" s="6" t="n">
        <v>68.869142</v>
      </c>
      <c r="G60" s="6" t="n">
        <v>55.637339</v>
      </c>
      <c r="Q60" s="9" t="n">
        <v>12000</v>
      </c>
      <c r="R60" s="6" t="n">
        <v>155.093726</v>
      </c>
    </row>
    <row r="61" customFormat="false" ht="15" hidden="false" customHeight="true" outlineLevel="0" collapsed="false">
      <c r="A61" s="5" t="n">
        <v>4</v>
      </c>
      <c r="B61" s="6" t="n">
        <v>87.62338</v>
      </c>
      <c r="C61" s="6" t="n">
        <v>68.863779</v>
      </c>
      <c r="D61" s="6" t="n">
        <v>69.915747</v>
      </c>
      <c r="E61" s="6" t="n">
        <v>60.611117</v>
      </c>
      <c r="F61" s="6" t="n">
        <v>65.219977</v>
      </c>
      <c r="G61" s="6" t="n">
        <v>71.586789</v>
      </c>
      <c r="Q61" s="9" t="n">
        <v>12000</v>
      </c>
      <c r="R61" s="6" t="n">
        <v>165.258192</v>
      </c>
    </row>
    <row r="62" customFormat="false" ht="15" hidden="false" customHeight="true" outlineLevel="0" collapsed="false">
      <c r="A62" s="5" t="n">
        <v>5</v>
      </c>
      <c r="B62" s="6" t="n">
        <v>83.706898</v>
      </c>
      <c r="C62" s="6" t="n">
        <v>65.803675</v>
      </c>
      <c r="D62" s="6" t="n">
        <v>73.964419</v>
      </c>
      <c r="E62" s="6" t="n">
        <v>68.092806</v>
      </c>
      <c r="F62" s="6" t="n">
        <v>64.481743</v>
      </c>
      <c r="G62" s="6"/>
      <c r="Q62" s="9" t="n">
        <v>12000</v>
      </c>
      <c r="R62" s="6" t="n">
        <v>167.457674</v>
      </c>
    </row>
    <row r="63" customFormat="false" ht="15" hidden="false" customHeight="true" outlineLevel="0" collapsed="false">
      <c r="A63" s="5" t="n">
        <v>6</v>
      </c>
      <c r="B63" s="6" t="n">
        <v>67.172585</v>
      </c>
      <c r="C63" s="6" t="n">
        <v>75.848973</v>
      </c>
      <c r="D63" s="6" t="n">
        <v>75.419879</v>
      </c>
      <c r="E63" s="6" t="n">
        <v>60.444379</v>
      </c>
      <c r="F63" s="6" t="n">
        <v>60.250375</v>
      </c>
      <c r="G63" s="6"/>
      <c r="Q63" s="9" t="n">
        <v>12000</v>
      </c>
      <c r="R63" s="6" t="n">
        <v>167.798586</v>
      </c>
    </row>
    <row r="64" customFormat="false" ht="15" hidden="false" customHeight="true" outlineLevel="0" collapsed="false">
      <c r="A64" s="5" t="n">
        <v>7</v>
      </c>
      <c r="B64" s="6" t="n">
        <v>82.454684</v>
      </c>
      <c r="C64" s="6" t="n">
        <v>76.060421</v>
      </c>
      <c r="D64" s="6" t="n">
        <v>69.286473</v>
      </c>
      <c r="E64" s="6" t="n">
        <v>63.985687</v>
      </c>
      <c r="F64" s="6" t="n">
        <v>62.155022</v>
      </c>
      <c r="G64" s="6"/>
      <c r="Q64" s="9" t="n">
        <v>12000</v>
      </c>
      <c r="R64" s="6" t="n">
        <v>132.30876</v>
      </c>
    </row>
    <row r="65" customFormat="false" ht="15" hidden="false" customHeight="true" outlineLevel="0" collapsed="false">
      <c r="A65" s="5" t="n">
        <v>8</v>
      </c>
      <c r="B65" s="6" t="n">
        <v>82.786007</v>
      </c>
      <c r="C65" s="6" t="n">
        <v>69.457685</v>
      </c>
      <c r="D65" s="6" t="n">
        <v>65.85629</v>
      </c>
      <c r="E65" s="6" t="n">
        <v>58.666682</v>
      </c>
      <c r="F65" s="6" t="n">
        <v>64.504357</v>
      </c>
      <c r="G65" s="6"/>
      <c r="Q65" s="9" t="n">
        <v>12000</v>
      </c>
      <c r="R65" s="6" t="n">
        <v>152.664539</v>
      </c>
    </row>
    <row r="66" customFormat="false" ht="15" hidden="false" customHeight="true" outlineLevel="0" collapsed="false">
      <c r="A66" s="5" t="n">
        <v>9</v>
      </c>
      <c r="B66" s="6" t="n">
        <v>83.649639</v>
      </c>
      <c r="C66" s="6" t="n">
        <v>58.553916</v>
      </c>
      <c r="D66" s="6" t="n">
        <v>64.496028</v>
      </c>
      <c r="E66" s="6" t="n">
        <v>49.959055</v>
      </c>
      <c r="F66" s="6" t="n">
        <v>54.573541</v>
      </c>
      <c r="G66" s="6"/>
      <c r="Q66" s="9" t="n">
        <v>12000</v>
      </c>
      <c r="R66" s="6" t="n">
        <v>127.726041</v>
      </c>
    </row>
    <row r="67" customFormat="false" ht="15" hidden="false" customHeight="true" outlineLevel="0" collapsed="false">
      <c r="A67" s="5" t="n">
        <v>10</v>
      </c>
      <c r="B67" s="6" t="n">
        <v>101.8899</v>
      </c>
      <c r="C67" s="6" t="n">
        <v>72.834418</v>
      </c>
      <c r="D67" s="6" t="n">
        <v>68.260465</v>
      </c>
      <c r="E67" s="6" t="n">
        <v>54.56135</v>
      </c>
      <c r="F67" s="6" t="n">
        <v>59.859196</v>
      </c>
      <c r="G67" s="6"/>
      <c r="Q67" s="9" t="n">
        <v>12000</v>
      </c>
      <c r="R67" s="6" t="n">
        <v>130.560515</v>
      </c>
    </row>
    <row r="68" customFormat="false" ht="15" hidden="false" customHeight="true" outlineLevel="0" collapsed="false">
      <c r="A68" s="10" t="s">
        <v>54</v>
      </c>
      <c r="B68" s="12" t="n">
        <f aca="false">MIN(B58:B67)</f>
        <v>67.172585</v>
      </c>
      <c r="C68" s="12" t="n">
        <f aca="false">MIN(C58:C67)</f>
        <v>58.553916</v>
      </c>
      <c r="D68" s="12" t="n">
        <f aca="false">MIN(D58:D67)</f>
        <v>64.496028</v>
      </c>
      <c r="E68" s="12" t="n">
        <f aca="false">MIN(E58:E67)</f>
        <v>49.959055</v>
      </c>
      <c r="F68" s="12" t="n">
        <f aca="false">MIN(F58:F67)</f>
        <v>54.573541</v>
      </c>
      <c r="G68" s="12" t="n">
        <f aca="false">MIN(G58:G67)</f>
        <v>55.637339</v>
      </c>
      <c r="Q68" s="9" t="n">
        <v>12000</v>
      </c>
      <c r="R68" s="6" t="n">
        <v>136.394435</v>
      </c>
    </row>
    <row r="69" customFormat="false" ht="15" hidden="false" customHeight="true" outlineLevel="0" collapsed="false">
      <c r="A69" s="10" t="s">
        <v>55</v>
      </c>
      <c r="B69" s="12" t="n">
        <f aca="false">MAX(B58:B67)</f>
        <v>101.8899</v>
      </c>
      <c r="C69" s="12" t="n">
        <f aca="false">MAX(C58:C67)</f>
        <v>81.099236</v>
      </c>
      <c r="D69" s="12" t="n">
        <f aca="false">MAX(D58:D67)</f>
        <v>77.757021</v>
      </c>
      <c r="E69" s="12" t="n">
        <f aca="false">MAX(E58:E67)</f>
        <v>68.092806</v>
      </c>
      <c r="F69" s="12" t="n">
        <f aca="false">MAX(F58:F67)</f>
        <v>68.869142</v>
      </c>
      <c r="G69" s="12" t="n">
        <f aca="false">MAX(G58:G67)</f>
        <v>71.586789</v>
      </c>
      <c r="Q69" s="9" t="n">
        <v>12000</v>
      </c>
      <c r="R69" s="6" t="n">
        <v>132.624647</v>
      </c>
    </row>
    <row r="70" customFormat="false" ht="15" hidden="false" customHeight="true" outlineLevel="0" collapsed="false">
      <c r="A70" s="10" t="s">
        <v>56</v>
      </c>
      <c r="B70" s="12" t="n">
        <f aca="false">AVERAGE(B58:B67)</f>
        <v>84.3007803</v>
      </c>
      <c r="C70" s="12" t="n">
        <f aca="false">AVERAGE(C58:C67)</f>
        <v>72.8446177</v>
      </c>
      <c r="D70" s="12" t="n">
        <f aca="false">AVERAGE(D58:D67)</f>
        <v>70.1265493</v>
      </c>
      <c r="E70" s="12" t="n">
        <f aca="false">AVERAGE(E58:E67)</f>
        <v>60.4186732</v>
      </c>
      <c r="F70" s="12" t="n">
        <f aca="false">AVERAGE(F58:F67)</f>
        <v>62.6695133</v>
      </c>
      <c r="G70" s="12" t="n">
        <f aca="false">AVERAGE(G58:G67)</f>
        <v>62.03173825</v>
      </c>
      <c r="Q70" s="9" t="n">
        <v>14000</v>
      </c>
      <c r="R70" s="6" t="n">
        <v>166.108684</v>
      </c>
    </row>
    <row r="71" customFormat="false" ht="15" hidden="false" customHeight="true" outlineLevel="0" collapsed="false">
      <c r="A71" s="10" t="s">
        <v>57</v>
      </c>
      <c r="B71" s="13" t="n">
        <f aca="false">B70/$N$22*100</f>
        <v>21.2451563256048</v>
      </c>
      <c r="C71" s="13" t="n">
        <f aca="false">C70/$N$22*100</f>
        <v>18.3580185735887</v>
      </c>
      <c r="D71" s="13" t="n">
        <f aca="false">D70/$N$22*100</f>
        <v>17.6730214969758</v>
      </c>
      <c r="E71" s="13" t="n">
        <f aca="false">E70/$N$22*100</f>
        <v>15.226480141129</v>
      </c>
      <c r="F71" s="13" t="n">
        <f aca="false">F70/$N$22*100</f>
        <v>15.7937281502016</v>
      </c>
      <c r="G71" s="13" t="n">
        <f aca="false">G70/$N$22*100</f>
        <v>15.6329985509073</v>
      </c>
      <c r="Q71" s="9" t="n">
        <v>14000</v>
      </c>
      <c r="R71" s="6" t="n">
        <v>162.045001</v>
      </c>
    </row>
    <row r="72" customFormat="false" ht="15" hidden="false" customHeight="false" outlineLevel="0" collapsed="false">
      <c r="Q72" s="9" t="n">
        <v>14000</v>
      </c>
      <c r="R72" s="6" t="n">
        <v>154.947756</v>
      </c>
    </row>
    <row r="73" customFormat="false" ht="15" hidden="false" customHeight="false" outlineLevel="0" collapsed="false">
      <c r="Q73" s="9" t="n">
        <v>14000</v>
      </c>
      <c r="R73" s="6" t="n">
        <v>161.75153</v>
      </c>
    </row>
    <row r="74" customFormat="false" ht="15" hidden="false" customHeight="false" outlineLevel="0" collapsed="false">
      <c r="Q74" s="9" t="n">
        <v>14000</v>
      </c>
      <c r="R74" s="6" t="n">
        <v>157.725204</v>
      </c>
    </row>
    <row r="75" customFormat="false" ht="15" hidden="false" customHeight="false" outlineLevel="0" collapsed="false">
      <c r="Q75" s="9" t="n">
        <v>14000</v>
      </c>
      <c r="R75" s="6" t="n">
        <v>164.880765</v>
      </c>
    </row>
    <row r="76" customFormat="false" ht="15" hidden="false" customHeight="false" outlineLevel="0" collapsed="false">
      <c r="Q76" s="9" t="n">
        <v>14000</v>
      </c>
      <c r="R76" s="6" t="n">
        <v>163.661158</v>
      </c>
    </row>
    <row r="77" customFormat="false" ht="15" hidden="false" customHeight="false" outlineLevel="0" collapsed="false">
      <c r="Q77" s="9" t="n">
        <v>14000</v>
      </c>
      <c r="R77" s="6" t="n">
        <v>162.652605</v>
      </c>
    </row>
    <row r="78" customFormat="false" ht="15" hidden="false" customHeight="false" outlineLevel="0" collapsed="false">
      <c r="Q78" s="9" t="n">
        <v>14000</v>
      </c>
      <c r="R78" s="6" t="n">
        <v>152.553507</v>
      </c>
    </row>
    <row r="79" customFormat="false" ht="15" hidden="false" customHeight="false" outlineLevel="0" collapsed="false">
      <c r="Q79" s="9" t="n">
        <v>14000</v>
      </c>
      <c r="R79" s="6" t="n">
        <v>161.009915</v>
      </c>
    </row>
    <row r="80" customFormat="false" ht="15" hidden="false" customHeight="false" outlineLevel="0" collapsed="false">
      <c r="Q80" s="9" t="n">
        <v>14000</v>
      </c>
      <c r="R80" s="6" t="n">
        <v>156.286288</v>
      </c>
    </row>
    <row r="81" customFormat="false" ht="15" hidden="false" customHeight="false" outlineLevel="0" collapsed="false">
      <c r="Q81" s="9" t="n">
        <v>14000</v>
      </c>
      <c r="R81" s="6" t="n">
        <v>156.782613</v>
      </c>
    </row>
    <row r="82" customFormat="false" ht="15" hidden="false" customHeight="false" outlineLevel="0" collapsed="false">
      <c r="Q82" s="9" t="n">
        <v>14000</v>
      </c>
      <c r="R82" s="6" t="n">
        <v>159.271965</v>
      </c>
    </row>
    <row r="83" customFormat="false" ht="15" hidden="false" customHeight="false" outlineLevel="0" collapsed="false">
      <c r="Q83" s="9" t="n">
        <v>14000</v>
      </c>
      <c r="R83" s="6" t="n">
        <v>147.560257</v>
      </c>
    </row>
    <row r="84" customFormat="false" ht="15" hidden="false" customHeight="false" outlineLevel="0" collapsed="false">
      <c r="Q84" s="9" t="n">
        <v>14000</v>
      </c>
      <c r="R84" s="6" t="n">
        <v>147.792456</v>
      </c>
    </row>
    <row r="85" customFormat="false" ht="15" hidden="false" customHeight="false" outlineLevel="0" collapsed="false">
      <c r="Q85" s="9" t="n">
        <v>14000</v>
      </c>
      <c r="R85" s="6" t="n">
        <v>149.600661</v>
      </c>
    </row>
    <row r="86" customFormat="false" ht="15" hidden="false" customHeight="false" outlineLevel="0" collapsed="false">
      <c r="Q86" s="9" t="n">
        <v>14000</v>
      </c>
      <c r="R86" s="6" t="n">
        <v>147.7758</v>
      </c>
    </row>
    <row r="87" customFormat="false" ht="15" hidden="false" customHeight="false" outlineLevel="0" collapsed="false">
      <c r="Q87" s="9" t="n">
        <v>14000</v>
      </c>
      <c r="R87" s="6" t="n">
        <v>154.250452</v>
      </c>
    </row>
    <row r="88" customFormat="false" ht="15" hidden="false" customHeight="false" outlineLevel="0" collapsed="false">
      <c r="Q88" s="9" t="n">
        <v>14000</v>
      </c>
      <c r="R88" s="6" t="n">
        <v>154.24143</v>
      </c>
    </row>
    <row r="89" customFormat="false" ht="15" hidden="false" customHeight="false" outlineLevel="0" collapsed="false">
      <c r="Q89" s="9" t="n">
        <v>14000</v>
      </c>
      <c r="R89" s="6" t="n">
        <v>136.089358</v>
      </c>
    </row>
    <row r="90" customFormat="false" ht="15" hidden="false" customHeight="false" outlineLevel="0" collapsed="false">
      <c r="Q90" s="9" t="n">
        <v>16000</v>
      </c>
      <c r="R90" s="6" t="n">
        <v>154.47721</v>
      </c>
    </row>
    <row r="91" customFormat="false" ht="15" hidden="false" customHeight="false" outlineLevel="0" collapsed="false">
      <c r="Q91" s="9" t="n">
        <v>16000</v>
      </c>
      <c r="R91" s="6" t="n">
        <v>158.169779</v>
      </c>
    </row>
    <row r="92" customFormat="false" ht="15" hidden="false" customHeight="false" outlineLevel="0" collapsed="false">
      <c r="Q92" s="9" t="n">
        <v>16000</v>
      </c>
      <c r="R92" s="6" t="n">
        <v>162.001399</v>
      </c>
    </row>
    <row r="93" customFormat="false" ht="15" hidden="false" customHeight="false" outlineLevel="0" collapsed="false">
      <c r="Q93" s="9" t="n">
        <v>16000</v>
      </c>
      <c r="R93" s="6" t="n">
        <v>163.372007</v>
      </c>
    </row>
    <row r="94" customFormat="false" ht="15" hidden="false" customHeight="false" outlineLevel="0" collapsed="false">
      <c r="Q94" s="9" t="n">
        <v>16000</v>
      </c>
      <c r="R94" s="6" t="n">
        <v>156.098927</v>
      </c>
    </row>
    <row r="95" customFormat="false" ht="15" hidden="false" customHeight="false" outlineLevel="0" collapsed="false">
      <c r="Q95" s="9" t="n">
        <v>16000</v>
      </c>
      <c r="R95" s="6" t="n">
        <v>161.466152</v>
      </c>
    </row>
    <row r="96" customFormat="false" ht="15" hidden="false" customHeight="false" outlineLevel="0" collapsed="false">
      <c r="Q96" s="9" t="n">
        <v>16000</v>
      </c>
      <c r="R96" s="6" t="n">
        <v>156.916479</v>
      </c>
    </row>
    <row r="97" customFormat="false" ht="15" hidden="false" customHeight="false" outlineLevel="0" collapsed="false">
      <c r="Q97" s="9" t="n">
        <v>16000</v>
      </c>
      <c r="R97" s="6" t="n">
        <v>159.557576</v>
      </c>
    </row>
    <row r="98" customFormat="false" ht="15" hidden="false" customHeight="false" outlineLevel="0" collapsed="false">
      <c r="Q98" s="9" t="n">
        <v>16000</v>
      </c>
      <c r="R98" s="6" t="n">
        <v>155.725002</v>
      </c>
    </row>
    <row r="99" customFormat="false" ht="15" hidden="false" customHeight="false" outlineLevel="0" collapsed="false">
      <c r="Q99" s="9" t="n">
        <v>16000</v>
      </c>
      <c r="R99" s="6" t="n">
        <v>163.439258</v>
      </c>
    </row>
    <row r="100" customFormat="false" ht="15" hidden="false" customHeight="false" outlineLevel="0" collapsed="false">
      <c r="Q100" s="9" t="n">
        <v>16000</v>
      </c>
      <c r="R100" s="6" t="n">
        <v>152.440312</v>
      </c>
    </row>
    <row r="101" customFormat="false" ht="15" hidden="false" customHeight="false" outlineLevel="0" collapsed="false">
      <c r="Q101" s="9" t="n">
        <v>16000</v>
      </c>
      <c r="R101" s="6" t="n">
        <v>155.577092</v>
      </c>
    </row>
    <row r="102" customFormat="false" ht="15" hidden="false" customHeight="false" outlineLevel="0" collapsed="false">
      <c r="Q102" s="9" t="n">
        <v>16000</v>
      </c>
      <c r="R102" s="6" t="n">
        <v>115.449466</v>
      </c>
    </row>
    <row r="103" customFormat="false" ht="15" hidden="false" customHeight="false" outlineLevel="0" collapsed="false">
      <c r="Q103" s="9" t="n">
        <v>16000</v>
      </c>
      <c r="R103" s="6" t="n">
        <v>116.02836</v>
      </c>
    </row>
    <row r="104" customFormat="false" ht="15" hidden="false" customHeight="false" outlineLevel="0" collapsed="false">
      <c r="Q104" s="9" t="n">
        <v>16000</v>
      </c>
      <c r="R104" s="6" t="n">
        <v>112.652587</v>
      </c>
    </row>
    <row r="105" customFormat="false" ht="15" hidden="false" customHeight="false" outlineLevel="0" collapsed="false">
      <c r="Q105" s="9" t="n">
        <v>16000</v>
      </c>
      <c r="R105" s="6" t="n">
        <v>123.055028</v>
      </c>
    </row>
    <row r="106" customFormat="false" ht="15" hidden="false" customHeight="false" outlineLevel="0" collapsed="false">
      <c r="Q106" s="9" t="n">
        <v>16000</v>
      </c>
      <c r="R106" s="6" t="n">
        <v>161.764925</v>
      </c>
    </row>
    <row r="107" customFormat="false" ht="15" hidden="false" customHeight="false" outlineLevel="0" collapsed="false">
      <c r="Q107" s="9" t="n">
        <v>16000</v>
      </c>
      <c r="R107" s="6" t="n">
        <v>164.779269</v>
      </c>
    </row>
    <row r="108" customFormat="false" ht="15" hidden="false" customHeight="false" outlineLevel="0" collapsed="false">
      <c r="Q108" s="9" t="n">
        <v>16000</v>
      </c>
      <c r="R108" s="6" t="n">
        <v>163.917741</v>
      </c>
    </row>
    <row r="109" customFormat="false" ht="15" hidden="false" customHeight="false" outlineLevel="0" collapsed="false">
      <c r="Q109" s="9" t="n">
        <v>16000</v>
      </c>
      <c r="R109" s="6" t="n">
        <v>150.990173</v>
      </c>
    </row>
    <row r="110" customFormat="false" ht="15" hidden="false" customHeight="false" outlineLevel="0" collapsed="false">
      <c r="Q110" s="9" t="n">
        <v>18000</v>
      </c>
      <c r="R110" s="6" t="n">
        <v>159.037355</v>
      </c>
    </row>
    <row r="111" customFormat="false" ht="15" hidden="false" customHeight="false" outlineLevel="0" collapsed="false">
      <c r="Q111" s="9" t="n">
        <v>18000</v>
      </c>
      <c r="R111" s="6" t="n">
        <v>141.954404</v>
      </c>
    </row>
    <row r="112" customFormat="false" ht="15" hidden="false" customHeight="false" outlineLevel="0" collapsed="false">
      <c r="Q112" s="9" t="n">
        <v>18000</v>
      </c>
      <c r="R112" s="6" t="n">
        <v>155.3082</v>
      </c>
    </row>
    <row r="113" customFormat="false" ht="15" hidden="false" customHeight="false" outlineLevel="0" collapsed="false">
      <c r="Q113" s="9" t="n">
        <v>18000</v>
      </c>
      <c r="R113" s="6" t="n">
        <v>152.979654</v>
      </c>
    </row>
    <row r="114" customFormat="false" ht="15" hidden="false" customHeight="false" outlineLevel="0" collapsed="false">
      <c r="Q114" s="9" t="n">
        <v>18000</v>
      </c>
      <c r="R114" s="6" t="n">
        <v>162.265072</v>
      </c>
    </row>
    <row r="115" customFormat="false" ht="15" hidden="false" customHeight="false" outlineLevel="0" collapsed="false">
      <c r="Q115" s="9" t="n">
        <v>18000</v>
      </c>
      <c r="R115" s="6" t="n">
        <v>149.143871</v>
      </c>
    </row>
    <row r="116" customFormat="false" ht="15" hidden="false" customHeight="false" outlineLevel="0" collapsed="false">
      <c r="Q116" s="9" t="n">
        <v>18000</v>
      </c>
      <c r="R116" s="6" t="n">
        <v>154.853614</v>
      </c>
    </row>
    <row r="117" customFormat="false" ht="15" hidden="false" customHeight="false" outlineLevel="0" collapsed="false">
      <c r="Q117" s="9" t="n">
        <v>18000</v>
      </c>
      <c r="R117" s="6" t="n">
        <v>159.732687</v>
      </c>
    </row>
    <row r="118" customFormat="false" ht="15" hidden="false" customHeight="false" outlineLevel="0" collapsed="false">
      <c r="Q118" s="9" t="n">
        <v>18000</v>
      </c>
      <c r="R118" s="6" t="n">
        <v>158.212786</v>
      </c>
    </row>
    <row r="119" customFormat="false" ht="15" hidden="false" customHeight="false" outlineLevel="0" collapsed="false">
      <c r="Q119" s="9" t="n">
        <v>18000</v>
      </c>
      <c r="R119" s="6" t="n">
        <v>161.908484</v>
      </c>
    </row>
    <row r="120" customFormat="false" ht="15" hidden="false" customHeight="false" outlineLevel="0" collapsed="false">
      <c r="Q120" s="9" t="n">
        <v>18000</v>
      </c>
      <c r="R120" s="6" t="n">
        <v>167.142495</v>
      </c>
    </row>
    <row r="121" customFormat="false" ht="15" hidden="false" customHeight="false" outlineLevel="0" collapsed="false">
      <c r="Q121" s="9" t="n">
        <v>18000</v>
      </c>
      <c r="R121" s="6" t="n">
        <v>160.282535</v>
      </c>
    </row>
    <row r="122" customFormat="false" ht="15" hidden="false" customHeight="false" outlineLevel="0" collapsed="false">
      <c r="Q122" s="9" t="n">
        <v>18000</v>
      </c>
      <c r="R122" s="6" t="n">
        <v>149.685834</v>
      </c>
    </row>
    <row r="123" customFormat="false" ht="15" hidden="false" customHeight="false" outlineLevel="0" collapsed="false">
      <c r="Q123" s="9" t="n">
        <v>18000</v>
      </c>
      <c r="R123" s="6" t="n">
        <v>126.919337</v>
      </c>
    </row>
    <row r="124" customFormat="false" ht="15" hidden="false" customHeight="false" outlineLevel="0" collapsed="false">
      <c r="Q124" s="9" t="n">
        <v>18000</v>
      </c>
      <c r="R124" s="6" t="n">
        <v>111.488343</v>
      </c>
    </row>
    <row r="125" customFormat="false" ht="15" hidden="false" customHeight="false" outlineLevel="0" collapsed="false">
      <c r="Q125" s="9" t="n">
        <v>18000</v>
      </c>
      <c r="R125" s="6" t="n">
        <v>107.847815</v>
      </c>
    </row>
    <row r="126" customFormat="false" ht="15" hidden="false" customHeight="false" outlineLevel="0" collapsed="false">
      <c r="Q126" s="9" t="n">
        <v>18000</v>
      </c>
      <c r="R126" s="6" t="n">
        <v>110.467418</v>
      </c>
    </row>
    <row r="127" customFormat="false" ht="15" hidden="false" customHeight="false" outlineLevel="0" collapsed="false">
      <c r="Q127" s="9" t="n">
        <v>18000</v>
      </c>
      <c r="R127" s="6" t="n">
        <v>155.651871</v>
      </c>
    </row>
    <row r="128" customFormat="false" ht="15" hidden="false" customHeight="false" outlineLevel="0" collapsed="false">
      <c r="Q128" s="9" t="n">
        <v>18000</v>
      </c>
      <c r="R128" s="6" t="n">
        <v>153.18685</v>
      </c>
    </row>
    <row r="129" customFormat="false" ht="15" hidden="false" customHeight="false" outlineLevel="0" collapsed="false">
      <c r="Q129" s="9" t="n">
        <v>18000</v>
      </c>
      <c r="R129" s="6" t="n">
        <v>159.052436</v>
      </c>
    </row>
    <row r="130" customFormat="false" ht="15" hidden="false" customHeight="false" outlineLevel="0" collapsed="false">
      <c r="Q130" s="9" t="n">
        <v>20000</v>
      </c>
      <c r="R130" s="6" t="n">
        <v>159.424494</v>
      </c>
    </row>
    <row r="131" customFormat="false" ht="15" hidden="false" customHeight="false" outlineLevel="0" collapsed="false">
      <c r="Q131" s="9" t="n">
        <v>20000</v>
      </c>
      <c r="R131" s="6" t="n">
        <v>148.642007</v>
      </c>
    </row>
    <row r="132" customFormat="false" ht="15" hidden="false" customHeight="false" outlineLevel="0" collapsed="false">
      <c r="Q132" s="9" t="n">
        <v>20000</v>
      </c>
      <c r="R132" s="6" t="n">
        <v>157.01045</v>
      </c>
    </row>
    <row r="133" customFormat="false" ht="15" hidden="false" customHeight="false" outlineLevel="0" collapsed="false">
      <c r="Q133" s="9" t="n">
        <v>20000</v>
      </c>
      <c r="R133" s="6" t="n">
        <v>158.028052</v>
      </c>
    </row>
    <row r="134" customFormat="false" ht="15" hidden="false" customHeight="false" outlineLevel="0" collapsed="false">
      <c r="Q134" s="9" t="n">
        <v>20000</v>
      </c>
      <c r="R134" s="6" t="n">
        <v>162.794678</v>
      </c>
    </row>
    <row r="135" customFormat="false" ht="15" hidden="false" customHeight="false" outlineLevel="0" collapsed="false">
      <c r="Q135" s="9" t="n">
        <v>20000</v>
      </c>
      <c r="R135" s="6" t="n">
        <v>145.580479</v>
      </c>
    </row>
    <row r="136" customFormat="false" ht="15" hidden="false" customHeight="false" outlineLevel="0" collapsed="false">
      <c r="Q136" s="9" t="n">
        <v>20000</v>
      </c>
      <c r="R136" s="6" t="n">
        <v>156.528848</v>
      </c>
    </row>
    <row r="137" customFormat="false" ht="15" hidden="false" customHeight="false" outlineLevel="0" collapsed="false">
      <c r="Q137" s="9" t="n">
        <v>20000</v>
      </c>
      <c r="R137" s="6" t="n">
        <v>160.414564</v>
      </c>
    </row>
    <row r="138" customFormat="false" ht="15" hidden="false" customHeight="false" outlineLevel="0" collapsed="false">
      <c r="Q138" s="9" t="n">
        <v>20000</v>
      </c>
      <c r="R138" s="6" t="n">
        <v>160.495423</v>
      </c>
    </row>
    <row r="139" customFormat="false" ht="15" hidden="false" customHeight="false" outlineLevel="0" collapsed="false">
      <c r="Q139" s="9" t="n">
        <v>20000</v>
      </c>
      <c r="R139" s="6" t="n">
        <v>158.047101</v>
      </c>
    </row>
    <row r="140" customFormat="false" ht="15" hidden="false" customHeight="false" outlineLevel="0" collapsed="false">
      <c r="Q140" s="9" t="n">
        <v>20000</v>
      </c>
      <c r="R140" s="6" t="n">
        <v>147.736373</v>
      </c>
    </row>
    <row r="141" customFormat="false" ht="15" hidden="false" customHeight="false" outlineLevel="0" collapsed="false">
      <c r="Q141" s="9" t="n">
        <v>20000</v>
      </c>
      <c r="R141" s="6" t="n">
        <v>156.924403</v>
      </c>
    </row>
    <row r="142" customFormat="false" ht="15" hidden="false" customHeight="false" outlineLevel="0" collapsed="false">
      <c r="Q142" s="9" t="n">
        <v>20000</v>
      </c>
      <c r="R142" s="6" t="n">
        <v>163.257088</v>
      </c>
    </row>
    <row r="143" customFormat="false" ht="15" hidden="false" customHeight="false" outlineLevel="0" collapsed="false">
      <c r="Q143" s="9" t="n">
        <v>20000</v>
      </c>
      <c r="R143" s="6" t="n">
        <v>139.046199</v>
      </c>
    </row>
    <row r="144" customFormat="false" ht="15" hidden="false" customHeight="false" outlineLevel="0" collapsed="false">
      <c r="Q144" s="9" t="n">
        <v>20000</v>
      </c>
      <c r="R144" s="6" t="n">
        <v>126.370419</v>
      </c>
    </row>
    <row r="145" customFormat="false" ht="15" hidden="false" customHeight="false" outlineLevel="0" collapsed="false">
      <c r="Q145" s="9" t="n">
        <v>20000</v>
      </c>
      <c r="R145" s="6" t="n">
        <v>134.448718</v>
      </c>
    </row>
    <row r="146" customFormat="false" ht="15" hidden="false" customHeight="false" outlineLevel="0" collapsed="false">
      <c r="Q146" s="9" t="n">
        <v>20000</v>
      </c>
      <c r="R146" s="6" t="n">
        <v>164.0767</v>
      </c>
    </row>
    <row r="147" customFormat="false" ht="15" hidden="false" customHeight="false" outlineLevel="0" collapsed="false">
      <c r="Q147" s="9" t="n">
        <v>20000</v>
      </c>
      <c r="R147" s="6" t="n">
        <v>152.689549</v>
      </c>
    </row>
    <row r="148" customFormat="false" ht="15" hidden="false" customHeight="false" outlineLevel="0" collapsed="false">
      <c r="Q148" s="9" t="n">
        <v>20000</v>
      </c>
      <c r="R148" s="6" t="n">
        <v>149.396797</v>
      </c>
    </row>
    <row r="149" customFormat="false" ht="15" hidden="false" customHeight="false" outlineLevel="0" collapsed="false">
      <c r="Q149" s="9" t="n">
        <v>20000</v>
      </c>
      <c r="R149" s="6" t="n">
        <v>145.90408</v>
      </c>
    </row>
  </sheetData>
  <mergeCells count="3">
    <mergeCell ref="A1:N1"/>
    <mergeCell ref="A31:N31"/>
    <mergeCell ref="A56:N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2026-07-03T21:06:37Z</dcterms:created>
  <dc:creator>openpyxl</dc:creator>
  <dc:description/>
  <dc:language>en-US</dc:language>
  <cp:lastModifiedBy/>
  <dcterms:modified xsi:type="dcterms:W3CDTF">2026-07-03T21:10:24Z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